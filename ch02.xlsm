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E2133B20-FA64-4A55-B6CF-CD5F8CC699D4}" xr6:coauthVersionLast="47" xr6:coauthVersionMax="47" xr10:uidLastSave="{00000000-0000-0000-0000-000000000000}"/>
  <bookViews>
    <workbookView xWindow="11760" yWindow="1790" windowWidth="22630" windowHeight="17130" xr2:uid="{3F761A01-EDA1-419E-B114-1DCC7F7BFCB4}"/>
  </bookViews>
  <sheets>
    <sheet name="2.2" sheetId="12" r:id="rId1"/>
    <sheet name="2.20" sheetId="18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SW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8" l="1" a="1"/>
  <c r="B14" i="12" a="1"/>
  <c r="B21" i="18" a="1"/>
  <c r="B23" i="18" l="1"/>
  <c r="G21" i="18"/>
  <c r="I23" i="18"/>
  <c r="B24" i="18"/>
  <c r="E23" i="18"/>
  <c r="B22" i="18"/>
  <c r="H22" i="18"/>
  <c r="I21" i="18"/>
  <c r="D25" i="18"/>
  <c r="E22" i="18"/>
  <c r="F26" i="18"/>
  <c r="H24" i="18"/>
  <c r="G22" i="18"/>
  <c r="D21" i="18"/>
  <c r="G24" i="18"/>
  <c r="C25" i="18"/>
  <c r="F24" i="18"/>
  <c r="C26" i="18"/>
  <c r="B25" i="18"/>
  <c r="E24" i="18"/>
  <c r="H25" i="18"/>
  <c r="H21" i="18"/>
  <c r="D24" i="18"/>
  <c r="B26" i="18"/>
  <c r="E21" i="18"/>
  <c r="I25" i="18"/>
  <c r="C23" i="18"/>
  <c r="C21" i="18"/>
  <c r="G25" i="18"/>
  <c r="F23" i="18"/>
  <c r="I22" i="18"/>
  <c r="I24" i="18"/>
  <c r="E25" i="18"/>
  <c r="F21" i="18"/>
  <c r="H26" i="18"/>
  <c r="D26" i="18"/>
  <c r="C22" i="18"/>
  <c r="I26" i="18"/>
  <c r="D22" i="18"/>
  <c r="H23" i="18"/>
  <c r="G26" i="18"/>
  <c r="B21" i="18"/>
  <c r="D23" i="18"/>
  <c r="F25" i="18"/>
  <c r="E26" i="18"/>
  <c r="G23" i="18"/>
  <c r="C24" i="18"/>
  <c r="F22" i="18"/>
  <c r="C15" i="12"/>
  <c r="C18" i="12"/>
  <c r="B16" i="12"/>
  <c r="C17" i="12"/>
  <c r="C19" i="12"/>
  <c r="B14" i="12"/>
  <c r="C16" i="12"/>
  <c r="B17" i="12"/>
  <c r="B18" i="12"/>
  <c r="B19" i="12"/>
  <c r="C14" i="12"/>
  <c r="B15" i="12"/>
  <c r="C16" i="18"/>
  <c r="C19" i="18"/>
  <c r="B15" i="18"/>
  <c r="C15" i="18"/>
  <c r="B19" i="18"/>
  <c r="C17" i="18"/>
  <c r="B17" i="18"/>
  <c r="C18" i="18"/>
  <c r="B14" i="18"/>
  <c r="C14" i="18"/>
  <c r="B16" i="18"/>
  <c r="B18" i="18"/>
  <c r="F17" i="18" l="1"/>
  <c r="F18" i="18" s="1"/>
</calcChain>
</file>

<file path=xl/sharedStrings.xml><?xml version="1.0" encoding="utf-8"?>
<sst xmlns="http://schemas.openxmlformats.org/spreadsheetml/2006/main" count="78" uniqueCount="32">
  <si>
    <t>想定元本</t>
    <rPh sb="0" eb="2">
      <t>ソウテイ</t>
    </rPh>
    <rPh sb="2" eb="4">
      <t>ガンポン</t>
    </rPh>
    <phoneticPr fontId="1"/>
  </si>
  <si>
    <t>depo</t>
    <phoneticPr fontId="1"/>
  </si>
  <si>
    <t>swap</t>
    <phoneticPr fontId="1"/>
  </si>
  <si>
    <t>6m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</si>
  <si>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</si>
  <si>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</si>
  <si>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</si>
  <si>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</si>
  <si>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</si>
  <si>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</si>
  <si>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</si>
  <si>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</si>
  <si>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</si>
  <si>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</si>
  <si>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</si>
  <si>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Tibor curve:</t>
    <phoneticPr fontId="1"/>
  </si>
  <si>
    <t>取引日</t>
    <rPh sb="0" eb="3">
      <t>トリヒキビ</t>
    </rPh>
    <phoneticPr fontId="1"/>
  </si>
  <si>
    <t>固定クーポン</t>
    <rPh sb="0" eb="2">
      <t>コテイ</t>
    </rPh>
    <phoneticPr fontId="1"/>
  </si>
  <si>
    <t>変動スプレッド</t>
    <rPh sb="0" eb="2">
      <t>ヘンドウ</t>
    </rPh>
    <phoneticPr fontId="1"/>
  </si>
  <si>
    <t>確定済み指標金利</t>
    <rPh sb="0" eb="2">
      <t>カクテイ</t>
    </rPh>
    <rPh sb="2" eb="3">
      <t>ズ</t>
    </rPh>
    <rPh sb="4" eb="6">
      <t>シヒョウ</t>
    </rPh>
    <rPh sb="6" eb="8">
      <t>キンリ</t>
    </rPh>
    <phoneticPr fontId="1"/>
  </si>
  <si>
    <t>スケジュール</t>
    <phoneticPr fontId="1"/>
  </si>
  <si>
    <t>固定･変動レグ 条件</t>
    <rPh sb="0" eb="2">
      <t>コテイ</t>
    </rPh>
    <rPh sb="3" eb="5">
      <t>ヘンドウ</t>
    </rPh>
    <rPh sb="8" eb="10">
      <t>ジョウケン</t>
    </rPh>
    <phoneticPr fontId="1"/>
  </si>
  <si>
    <t>受け:-1 払い:1</t>
    <rPh sb="0" eb="1">
      <t>ウ</t>
    </rPh>
    <rPh sb="6" eb="7">
      <t>バラ</t>
    </rPh>
    <phoneticPr fontId="1"/>
  </si>
  <si>
    <t>対6ヶ月Tiborスワップ</t>
    <rPh sb="0" eb="1">
      <t>タイ</t>
    </rPh>
    <rPh sb="3" eb="4">
      <t>ゲツ</t>
    </rPh>
    <phoneticPr fontId="1"/>
  </si>
  <si>
    <t>スワップ起算日</t>
    <rPh sb="4" eb="7">
      <t>キサンビ</t>
    </rPh>
    <phoneticPr fontId="1"/>
  </si>
  <si>
    <t>スワップ満期日</t>
    <rPh sb="4" eb="7">
      <t>マンキビ</t>
    </rPh>
    <phoneticPr fontId="1"/>
  </si>
  <si>
    <t>Annuity</t>
    <phoneticPr fontId="1"/>
  </si>
  <si>
    <t>(手計算)</t>
    <rPh sb="1" eb="4">
      <t>テケイサン</t>
    </rPh>
    <phoneticPr fontId="1"/>
  </si>
  <si>
    <t>ForwardSwap</t>
    <phoneticPr fontId="1"/>
  </si>
  <si>
    <t>F17: =SUMPRODUCT(F23:F26,I23:I26)/365</t>
    <phoneticPr fontId="1"/>
  </si>
  <si>
    <t>F18: =(I22-I26)/F17</t>
    <phoneticPr fontId="1"/>
  </si>
  <si>
    <t>(計算式)</t>
    <rPh sb="1" eb="3">
      <t>ケイサン</t>
    </rPh>
    <rPh sb="3" eb="4">
      <t>シキ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</si>
</sst>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00"/>
    <numFmt numFmtId="177" formatCode="0.0000%"/>
    <numFmt numFmtId="178" formatCode="0.00000%"/>
    <numFmt numFmtId="179" formatCode="#,##0.00_ "/>
    <numFmt numFmtId="180" formatCode="0.000000%"/>
    <numFmt numFmtId="181" formatCode="#,##0.00000000;[Red]\-#,##0.00000000"/>
    <numFmt numFmtId="182" formatCode="yyyy/m/d;@"/>
  </numFmts>
  <fonts count="11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name val="Arial Unicode MS"/>
      <family val="3"/>
      <charset val="128"/>
    </font>
    <font>
      <sz val="11"/>
      <name val="Arial Unicode MS"/>
      <family val="3"/>
      <charset val="128"/>
    </font>
    <font>
      <sz val="10"/>
      <name val="Arial"/>
      <family val="2"/>
    </font>
    <font>
      <sz val="10.5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0"/>
      <color theme="1"/>
      <name val="Arial Unicode MS"/>
      <family val="2"/>
      <charset val="128"/>
    </font>
    <font>
      <sz val="10"/>
      <color theme="1"/>
      <name val="Arial Unicode MS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 applyNumberFormat="0"/>
    <xf numFmtId="38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3" applyNumberFormat="1" applyFont="1" applyBorder="1" applyAlignment="1">
      <alignment horizontal="center" vertical="center"/>
    </xf>
    <xf numFmtId="178" fontId="0" fillId="0" borderId="0" xfId="3" applyNumberFormat="1" applyFont="1" applyBorder="1" applyAlignment="1">
      <alignment horizontal="center" vertical="center"/>
    </xf>
    <xf numFmtId="180" fontId="0" fillId="0" borderId="0" xfId="3" applyNumberFormat="1" applyFont="1" applyAlignment="1">
      <alignment horizontal="center" vertical="center"/>
    </xf>
    <xf numFmtId="179" fontId="0" fillId="0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179" fontId="5" fillId="0" borderId="0" xfId="1" applyNumberFormat="1" applyFont="1" applyAlignment="1">
      <alignment horizontal="center" vertical="center"/>
    </xf>
    <xf numFmtId="179" fontId="0" fillId="0" borderId="0" xfId="1" applyNumberFormat="1" applyFont="1" applyAlignment="1">
      <alignment horizontal="center" vertical="center"/>
    </xf>
    <xf numFmtId="38" fontId="0" fillId="0" borderId="0" xfId="1" applyFon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4" fillId="0" borderId="0" xfId="2" applyNumberFormat="1" applyFont="1" applyAlignment="1">
      <alignment horizontal="center" vertical="center"/>
    </xf>
    <xf numFmtId="38" fontId="0" fillId="0" borderId="0" xfId="1" applyFont="1" applyAlignment="1">
      <alignment horizontal="center" vertical="center"/>
    </xf>
    <xf numFmtId="178" fontId="0" fillId="0" borderId="0" xfId="3" applyNumberFormat="1" applyFont="1" applyAlignment="1">
      <alignment horizontal="center" vertical="center"/>
    </xf>
    <xf numFmtId="38" fontId="5" fillId="0" borderId="0" xfId="1" applyFont="1" applyAlignment="1">
      <alignment horizontal="center" vertical="center"/>
    </xf>
    <xf numFmtId="38" fontId="8" fillId="0" borderId="0" xfId="1" applyFont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9" fontId="0" fillId="2" borderId="1" xfId="3" applyNumberFormat="1" applyFont="1" applyFill="1" applyBorder="1" applyAlignment="1">
      <alignment horizontal="center" vertical="center"/>
    </xf>
    <xf numFmtId="176" fontId="4" fillId="2" borderId="1" xfId="2" applyNumberFormat="1" applyFont="1" applyFill="1" applyBorder="1" applyAlignment="1">
      <alignment horizontal="center" vertical="center"/>
    </xf>
    <xf numFmtId="181" fontId="0" fillId="0" borderId="0" xfId="1" applyNumberFormat="1" applyFont="1" applyAlignment="1">
      <alignment horizontal="right" vertical="center"/>
    </xf>
    <xf numFmtId="182" fontId="0" fillId="0" borderId="0" xfId="0" quotePrefix="1" applyNumberFormat="1" applyAlignment="1">
      <alignment horizontal="left" vertical="center"/>
    </xf>
    <xf numFmtId="0" fontId="0" fillId="3" borderId="0" xfId="0" applyFill="1">
      <alignment vertical="center"/>
    </xf>
    <xf numFmtId="0" fontId="9" fillId="3" borderId="0" xfId="0" quotePrefix="1" applyFont="1" applyFill="1">
      <alignment vertical="center"/>
    </xf>
    <xf numFmtId="0" fontId="10" fillId="3" borderId="0" xfId="0" quotePrefix="1" applyFont="1" applyFill="1">
      <alignment vertical="center"/>
    </xf>
    <xf numFmtId="176" fontId="0" fillId="3" borderId="0" xfId="0" applyNumberFormat="1" applyFill="1">
      <alignment vertical="center"/>
    </xf>
    <xf numFmtId="178" fontId="0" fillId="3" borderId="0" xfId="3" applyNumberFormat="1" applyFont="1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</cellXfs>
  <cellStyles count="7">
    <cellStyle name="パーセント" xfId="3" builtinId="5"/>
    <cellStyle name="パーセント 2" xfId="6" xr:uid="{DCF59B24-4A98-4C31-ADA3-2A1FBE073E57}"/>
    <cellStyle name="桁区切り" xfId="1" builtinId="6"/>
    <cellStyle name="桁区切り 2" xfId="5" xr:uid="{C4EC2F26-26EA-469B-B509-CBBE47F518CC}"/>
    <cellStyle name="標準" xfId="0" builtinId="0"/>
    <cellStyle name="標準 2" xfId="2" xr:uid="{E7DA21B5-16FD-4166-A564-770414A7E752}"/>
    <cellStyle name="標準 3" xfId="4" xr:uid="{F03CF938-791C-4486-A6CF-A9970B4198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F79CA-6109-438A-870B-A20A46132DC6}">
  <sheetPr codeName="Sheet6"/>
  <dimension ref="A1:F22"/>
  <sheetViews>
    <sheetView tabSelected="1" zoomScale="120" zoomScaleNormal="120" workbookViewId="0">
      <selection activeCell="C4" sqref="C4"/>
    </sheetView>
  </sheetViews>
  <sheetFormatPr defaultRowHeight="13"/>
  <cols>
    <col min="1" max="1" width="2" customWidth="1"/>
    <col min="2" max="2" width="17.26953125" style="2" customWidth="1"/>
    <col min="3" max="3" width="13.1796875" style="1" customWidth="1"/>
    <col min="4" max="4" width="13.36328125" bestFit="1" customWidth="1"/>
    <col min="5" max="5" width="11.453125" customWidth="1"/>
    <col min="6" max="6" width="9.7265625" style="1" customWidth="1"/>
    <col min="7" max="7" width="11.54296875" bestFit="1" customWidth="1"/>
    <col min="8" max="8" width="12.453125" bestFit="1" customWidth="1"/>
    <col min="9" max="9" width="10.453125" customWidth="1"/>
    <col min="10" max="10" width="12.36328125" bestFit="1" customWidth="1"/>
    <col min="11" max="11" width="14.36328125" bestFit="1" customWidth="1"/>
    <col min="12" max="12" width="14.1796875" bestFit="1" customWidth="1"/>
    <col min="13" max="13" width="12.6328125" bestFit="1" customWidth="1"/>
    <col min="14" max="14" width="13.54296875" bestFit="1" customWidth="1"/>
    <col min="15" max="15" width="13.08984375" bestFit="1" customWidth="1"/>
  </cols>
  <sheetData>
    <row r="1" spans="1:6">
      <c r="A1" s="2" t="s">
        <v>23</v>
      </c>
      <c r="D1" s="8" t="s">
        <v>15</v>
      </c>
      <c r="E1" s="9"/>
      <c r="F1" s="8"/>
    </row>
    <row r="2" spans="1:6">
      <c r="B2" s="7" t="s">
        <v>20</v>
      </c>
      <c r="C2" s="8"/>
      <c r="D2" s="1" t="s">
        <v>1</v>
      </c>
      <c r="E2" s="1" t="s">
        <v>3</v>
      </c>
      <c r="F2" s="15">
        <v>0.13636000000000001</v>
      </c>
    </row>
    <row r="3" spans="1:6">
      <c r="B3" s="1" t="s">
        <v>16</v>
      </c>
      <c r="C3" s="25">
        <v>44792</v>
      </c>
      <c r="D3" s="1" t="s">
        <v>2</v>
      </c>
      <c r="E3" s="1" t="s">
        <v>4</v>
      </c>
      <c r="F3" s="15">
        <v>0.15248999999999999</v>
      </c>
    </row>
    <row r="4" spans="1:6">
      <c r="B4" s="1" t="s">
        <v>24</v>
      </c>
      <c r="C4" s="25">
        <v>44796</v>
      </c>
      <c r="D4" s="1" t="s">
        <v>2</v>
      </c>
      <c r="E4" s="1" t="s">
        <v>5</v>
      </c>
      <c r="F4" s="15">
        <v>0.18742</v>
      </c>
    </row>
    <row r="5" spans="1:6">
      <c r="B5" s="1" t="s">
        <v>25</v>
      </c>
      <c r="C5" s="25">
        <v>45527</v>
      </c>
      <c r="D5" s="1" t="s">
        <v>2</v>
      </c>
      <c r="E5" s="1" t="s">
        <v>6</v>
      </c>
      <c r="F5" s="15">
        <v>0.20541000000000001</v>
      </c>
    </row>
    <row r="6" spans="1:6">
      <c r="D6" s="1" t="s">
        <v>2</v>
      </c>
      <c r="E6" s="1" t="s">
        <v>7</v>
      </c>
      <c r="F6" s="15">
        <v>0.23155999999999999</v>
      </c>
    </row>
    <row r="7" spans="1:6">
      <c r="B7" s="7" t="s">
        <v>21</v>
      </c>
      <c r="C7" s="8"/>
      <c r="D7" s="1" t="s">
        <v>2</v>
      </c>
      <c r="E7" s="1" t="s">
        <v>8</v>
      </c>
      <c r="F7" s="15">
        <v>0.25652999999999998</v>
      </c>
    </row>
    <row r="8" spans="1:6">
      <c r="B8" s="1" t="s">
        <v>22</v>
      </c>
      <c r="C8" s="2">
        <v>1</v>
      </c>
      <c r="D8" s="1" t="s">
        <v>2</v>
      </c>
      <c r="E8" s="1" t="s">
        <v>9</v>
      </c>
      <c r="F8" s="15">
        <v>0.28527999999999998</v>
      </c>
    </row>
    <row r="9" spans="1:6">
      <c r="B9" s="1" t="s">
        <v>0</v>
      </c>
      <c r="C9" s="12">
        <v>10000000</v>
      </c>
      <c r="D9" s="1" t="s">
        <v>2</v>
      </c>
      <c r="E9" s="1" t="s">
        <v>10</v>
      </c>
      <c r="F9" s="15">
        <v>0.32340999999999998</v>
      </c>
    </row>
    <row r="10" spans="1:6">
      <c r="B10" s="1" t="s">
        <v>17</v>
      </c>
      <c r="C10" s="13">
        <v>1.2E-2</v>
      </c>
      <c r="D10" s="1" t="s">
        <v>2</v>
      </c>
      <c r="E10" s="1" t="s">
        <v>11</v>
      </c>
      <c r="F10" s="15">
        <v>0.36591000000000001</v>
      </c>
    </row>
    <row r="11" spans="1:6">
      <c r="B11" s="1" t="s">
        <v>18</v>
      </c>
      <c r="C11" s="14">
        <v>0</v>
      </c>
      <c r="D11" s="1" t="s">
        <v>2</v>
      </c>
      <c r="E11" s="1" t="s">
        <v>12</v>
      </c>
      <c r="F11" s="15">
        <v>0.40905999999999998</v>
      </c>
    </row>
    <row r="12" spans="1:6">
      <c r="B12" s="1" t="s">
        <v>19</v>
      </c>
      <c r="C12" s="14">
        <v>1.3636E-3</v>
      </c>
      <c r="D12" s="1" t="s">
        <v>2</v>
      </c>
      <c r="E12" s="1" t="s">
        <v>13</v>
      </c>
      <c r="F12" s="15">
        <v>0.45471</v>
      </c>
    </row>
    <row r="13" spans="1:6">
      <c r="B13" s="1"/>
      <c r="C13" s="14"/>
      <c r="D13" s="1" t="s">
        <v>2</v>
      </c>
      <c r="E13" s="1" t="s">
        <v>14</v>
      </c>
      <c r="F13" s="15">
        <v>0.50224000000000002</v>
      </c>
    </row>
    <row r="14" spans="1:6">
      <c r="B14" s="20" t="str">
        <f t="array" ref="B14:C19">tiborSWAP(C3:C5,C8:C12,D2:F13)</f>
        <v>計算結果</v>
      </c>
      <c r="C14" s="6" t="str">
        <v/>
      </c>
    </row>
    <row r="15" spans="1:6">
      <c r="B15" s="1" t="str">
        <v>固定レグ時価</v>
      </c>
      <c r="C15" s="10">
        <v>-239781.11034279913</v>
      </c>
    </row>
    <row r="16" spans="1:6">
      <c r="B16" s="1" t="str">
        <v>変動レグ時価</v>
      </c>
      <c r="C16" s="11">
        <v>41044.53156290701</v>
      </c>
    </row>
    <row r="17" spans="2:5">
      <c r="B17" s="1" t="str">
        <v>スワップ時価 NPV</v>
      </c>
      <c r="C17" s="11">
        <v>-198736.57877989212</v>
      </c>
    </row>
    <row r="18" spans="2:5">
      <c r="B18" s="1" t="str">
        <v>フェアレート</v>
      </c>
      <c r="C18" s="5">
        <v>2.0540999999990924E-3</v>
      </c>
    </row>
    <row r="19" spans="2:5">
      <c r="B19" s="1" t="str">
        <v>フェアスプレッド</v>
      </c>
      <c r="C19" s="5">
        <v>9.9459000000009078E-3</v>
      </c>
    </row>
    <row r="20" spans="2:5">
      <c r="D20" s="1"/>
      <c r="E20" s="5"/>
    </row>
    <row r="21" spans="2:5">
      <c r="D21" s="1"/>
      <c r="E21" s="5"/>
    </row>
    <row r="22" spans="2:5">
      <c r="D22" s="1"/>
      <c r="E22" s="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DE59-2AA3-4751-89D3-8EBF3CC2C15F}">
  <sheetPr codeName="Sheet9"/>
  <dimension ref="A1:J31"/>
  <sheetViews>
    <sheetView zoomScale="120" zoomScaleNormal="120" workbookViewId="0">
      <selection activeCell="C4" sqref="C4"/>
    </sheetView>
  </sheetViews>
  <sheetFormatPr defaultRowHeight="13"/>
  <cols>
    <col min="1" max="1" width="2" customWidth="1"/>
    <col min="2" max="2" width="17.26953125" style="2" customWidth="1"/>
    <col min="3" max="3" width="13.90625" style="1" bestFit="1" customWidth="1"/>
    <col min="4" max="4" width="13.36328125" bestFit="1" customWidth="1"/>
    <col min="5" max="5" width="11.453125" customWidth="1"/>
    <col min="6" max="6" width="9.7265625" style="1" customWidth="1"/>
    <col min="7" max="7" width="11.54296875" bestFit="1" customWidth="1"/>
    <col min="8" max="8" width="12.453125" bestFit="1" customWidth="1"/>
    <col min="9" max="9" width="11.7265625" bestFit="1" customWidth="1"/>
    <col min="10" max="10" width="12.36328125" bestFit="1" customWidth="1"/>
    <col min="11" max="11" width="14.36328125" bestFit="1" customWidth="1"/>
    <col min="12" max="12" width="14.1796875" bestFit="1" customWidth="1"/>
    <col min="13" max="13" width="12.6328125" bestFit="1" customWidth="1"/>
    <col min="14" max="14" width="13.54296875" bestFit="1" customWidth="1"/>
    <col min="15" max="15" width="13.08984375" bestFit="1" customWidth="1"/>
  </cols>
  <sheetData>
    <row r="1" spans="1:9">
      <c r="A1" s="2" t="s">
        <v>23</v>
      </c>
      <c r="D1" s="8" t="s">
        <v>15</v>
      </c>
      <c r="E1" s="9"/>
      <c r="F1" s="8"/>
    </row>
    <row r="2" spans="1:9">
      <c r="B2" s="7" t="s">
        <v>20</v>
      </c>
      <c r="C2" s="8"/>
      <c r="D2" s="1" t="s">
        <v>1</v>
      </c>
      <c r="E2" s="1" t="s">
        <v>3</v>
      </c>
      <c r="F2" s="15">
        <v>0.13636000000000001</v>
      </c>
    </row>
    <row r="3" spans="1:9">
      <c r="B3" s="1" t="s">
        <v>16</v>
      </c>
      <c r="C3" s="25">
        <v>44792</v>
      </c>
      <c r="D3" s="1" t="s">
        <v>2</v>
      </c>
      <c r="E3" s="1" t="s">
        <v>4</v>
      </c>
      <c r="F3" s="15">
        <v>0.15248999999999999</v>
      </c>
    </row>
    <row r="4" spans="1:9">
      <c r="B4" s="1" t="s">
        <v>24</v>
      </c>
      <c r="C4" s="25">
        <v>45161</v>
      </c>
      <c r="D4" s="1" t="s">
        <v>2</v>
      </c>
      <c r="E4" s="1" t="s">
        <v>5</v>
      </c>
      <c r="F4" s="15">
        <v>0.18742</v>
      </c>
    </row>
    <row r="5" spans="1:9">
      <c r="B5" s="1" t="s">
        <v>25</v>
      </c>
      <c r="C5" s="25">
        <v>45892</v>
      </c>
      <c r="D5" s="1" t="s">
        <v>2</v>
      </c>
      <c r="E5" s="1" t="s">
        <v>6</v>
      </c>
      <c r="F5" s="15">
        <v>0.20541000000000001</v>
      </c>
    </row>
    <row r="6" spans="1:9">
      <c r="D6" s="1" t="s">
        <v>2</v>
      </c>
      <c r="E6" s="1" t="s">
        <v>7</v>
      </c>
      <c r="F6" s="15">
        <v>0.23155999999999999</v>
      </c>
    </row>
    <row r="7" spans="1:9">
      <c r="B7" s="7" t="s">
        <v>21</v>
      </c>
      <c r="C7" s="8"/>
      <c r="D7" s="1" t="s">
        <v>2</v>
      </c>
      <c r="E7" s="1" t="s">
        <v>8</v>
      </c>
      <c r="F7" s="15">
        <v>0.25652999999999998</v>
      </c>
    </row>
    <row r="8" spans="1:9">
      <c r="B8" s="1" t="s">
        <v>22</v>
      </c>
      <c r="C8" s="2">
        <v>1</v>
      </c>
      <c r="D8" s="1" t="s">
        <v>2</v>
      </c>
      <c r="E8" s="1" t="s">
        <v>9</v>
      </c>
      <c r="F8" s="15">
        <v>0.28527999999999998</v>
      </c>
    </row>
    <row r="9" spans="1:9">
      <c r="B9" s="1" t="s">
        <v>0</v>
      </c>
      <c r="C9" s="12">
        <v>10000000</v>
      </c>
      <c r="D9" s="1" t="s">
        <v>2</v>
      </c>
      <c r="E9" s="1" t="s">
        <v>10</v>
      </c>
      <c r="F9" s="15">
        <v>0.32340999999999998</v>
      </c>
    </row>
    <row r="10" spans="1:9">
      <c r="B10" s="1" t="s">
        <v>17</v>
      </c>
      <c r="C10" s="13">
        <v>1.2E-2</v>
      </c>
      <c r="D10" s="1" t="s">
        <v>2</v>
      </c>
      <c r="E10" s="1" t="s">
        <v>11</v>
      </c>
      <c r="F10" s="15">
        <v>0.36591000000000001</v>
      </c>
    </row>
    <row r="11" spans="1:9">
      <c r="B11" s="1" t="s">
        <v>18</v>
      </c>
      <c r="C11" s="14">
        <v>0</v>
      </c>
      <c r="D11" s="1" t="s">
        <v>2</v>
      </c>
      <c r="E11" s="1" t="s">
        <v>12</v>
      </c>
      <c r="F11" s="15">
        <v>0.40905999999999998</v>
      </c>
    </row>
    <row r="12" spans="1:9">
      <c r="B12" s="1" t="s">
        <v>19</v>
      </c>
      <c r="C12" s="14">
        <v>1.3636E-3</v>
      </c>
      <c r="D12" s="1" t="s">
        <v>2</v>
      </c>
      <c r="E12" s="1" t="s">
        <v>13</v>
      </c>
      <c r="F12" s="15">
        <v>0.45471</v>
      </c>
    </row>
    <row r="13" spans="1:9">
      <c r="B13" s="1"/>
      <c r="C13" s="14"/>
      <c r="D13" s="1" t="s">
        <v>2</v>
      </c>
      <c r="E13" s="1" t="s">
        <v>14</v>
      </c>
      <c r="F13" s="15">
        <v>0.50224000000000002</v>
      </c>
    </row>
    <row r="14" spans="1:9">
      <c r="B14" s="20" t="str">
        <f t="array" ref="B14:C19">tiborSWAP(C3:C5,C8:C12,D2:F13)</f>
        <v>計算結果</v>
      </c>
      <c r="C14" s="6" t="str">
        <v/>
      </c>
    </row>
    <row r="15" spans="1:9">
      <c r="B15" s="1" t="str">
        <v>固定レグ時価</v>
      </c>
      <c r="C15" s="10">
        <v>-239818.81660666221</v>
      </c>
    </row>
    <row r="16" spans="1:9">
      <c r="B16" s="1" t="str">
        <v>変動レグ時価</v>
      </c>
      <c r="C16" s="11">
        <v>54175.330146149616</v>
      </c>
      <c r="E16" s="31"/>
      <c r="F16" s="33" t="s">
        <v>27</v>
      </c>
      <c r="G16" s="34" t="s">
        <v>31</v>
      </c>
      <c r="H16" s="32"/>
      <c r="I16" s="32"/>
    </row>
    <row r="17" spans="2:10">
      <c r="B17" s="1" t="str">
        <v>スワップ時価 NPV</v>
      </c>
      <c r="C17" s="11">
        <v>-185643.48646051259</v>
      </c>
      <c r="E17" s="26" t="s">
        <v>26</v>
      </c>
      <c r="F17" s="29">
        <f>SUMPRODUCT(F23:F26,I23:I26)/365</f>
        <v>1.9984901383888873</v>
      </c>
      <c r="G17" s="27" t="s">
        <v>29</v>
      </c>
      <c r="H17" s="26"/>
      <c r="I17" s="26"/>
    </row>
    <row r="18" spans="2:10">
      <c r="B18" s="1" t="str">
        <v>フェアレート</v>
      </c>
      <c r="C18" s="5">
        <v>2.7108129835370677E-3</v>
      </c>
      <c r="E18" s="26" t="s">
        <v>28</v>
      </c>
      <c r="F18" s="30">
        <f>(I22-I26)/F17</f>
        <v>2.7108129835367659E-3</v>
      </c>
      <c r="G18" s="28" t="s">
        <v>30</v>
      </c>
      <c r="H18" s="26"/>
      <c r="I18" s="26"/>
    </row>
    <row r="19" spans="2:10">
      <c r="B19" s="1" t="str">
        <v>フェアスプレッド</v>
      </c>
      <c r="C19" s="5">
        <v>9.2891870164629325E-3</v>
      </c>
    </row>
    <row r="20" spans="2:10">
      <c r="C20" s="3"/>
      <c r="D20" s="1"/>
      <c r="E20" s="1"/>
      <c r="F20" s="15"/>
    </row>
    <row r="21" spans="2:10">
      <c r="B21" s="21" t="str">
        <f t="array" ref="B21:I26">tiborSWAP(C3:C5,C8:C12,D2:F13,0)</f>
        <v>nominal</v>
      </c>
      <c r="C21" s="22" t="str">
        <v>accruStart</v>
      </c>
      <c r="D21" s="21" t="str">
        <v>accruEnd</v>
      </c>
      <c r="E21" s="21" t="str">
        <v>payDate</v>
      </c>
      <c r="F21" s="23" t="str">
        <v>days</v>
      </c>
      <c r="G21" s="21" t="str">
        <v>rate</v>
      </c>
      <c r="H21" s="21" t="str">
        <v>amount</v>
      </c>
      <c r="I21" s="21" t="str">
        <v>DF</v>
      </c>
    </row>
    <row r="22" spans="2:10">
      <c r="B22" s="16" t="str">
        <v/>
      </c>
      <c r="C22" s="3" t="str">
        <v/>
      </c>
      <c r="D22" s="1" t="str">
        <v/>
      </c>
      <c r="E22" s="1" t="str">
        <v>2023-08-23</v>
      </c>
      <c r="F22" s="18" t="str">
        <v/>
      </c>
      <c r="G22" s="17" t="str">
        <v/>
      </c>
      <c r="H22" s="16" t="str">
        <v/>
      </c>
      <c r="I22" s="24">
        <v>0.99847677927950584</v>
      </c>
      <c r="J22" s="1"/>
    </row>
    <row r="23" spans="2:10">
      <c r="B23" s="16">
        <v>10000000</v>
      </c>
      <c r="C23" s="4" t="str">
        <v>2023-08-23</v>
      </c>
      <c r="D23" s="1" t="str">
        <v>2024-02-26</v>
      </c>
      <c r="E23" s="1" t="str">
        <v>2024-02-26</v>
      </c>
      <c r="F23" s="18">
        <v>187</v>
      </c>
      <c r="G23" s="17">
        <v>1.2E-2</v>
      </c>
      <c r="H23" s="16">
        <v>61479.452054793437</v>
      </c>
      <c r="I23" s="24">
        <v>0.99717037439212919</v>
      </c>
      <c r="J23" s="1"/>
    </row>
    <row r="24" spans="2:10">
      <c r="B24" s="16">
        <v>10000000</v>
      </c>
      <c r="C24" s="4" t="str">
        <v>2024-02-26</v>
      </c>
      <c r="D24" s="1" t="str">
        <v>2024-08-23</v>
      </c>
      <c r="E24" s="1" t="str">
        <v>2024-08-23</v>
      </c>
      <c r="F24" s="18">
        <v>179</v>
      </c>
      <c r="G24" s="17">
        <v>1.2E-2</v>
      </c>
      <c r="H24" s="16">
        <v>58849.315068492113</v>
      </c>
      <c r="I24" s="24">
        <v>0.99589554684370951</v>
      </c>
      <c r="J24" s="1"/>
    </row>
    <row r="25" spans="2:10">
      <c r="B25" s="16">
        <v>10000000</v>
      </c>
      <c r="C25" s="1" t="str">
        <v>2024-08-23</v>
      </c>
      <c r="D25" s="1" t="str">
        <v>2025-02-25</v>
      </c>
      <c r="E25" s="1" t="str">
        <v>2025-02-25</v>
      </c>
      <c r="F25" s="19">
        <v>186</v>
      </c>
      <c r="G25" s="17">
        <v>1.2E-2</v>
      </c>
      <c r="H25" s="16">
        <v>61150.68493150577</v>
      </c>
      <c r="I25" s="24">
        <v>0.99445706474003415</v>
      </c>
      <c r="J25" s="1"/>
    </row>
    <row r="26" spans="2:10">
      <c r="B26" s="16">
        <v>10000000</v>
      </c>
      <c r="C26" s="1" t="str">
        <v>2025-02-25</v>
      </c>
      <c r="D26" s="1" t="str">
        <v>2025-08-25</v>
      </c>
      <c r="E26" s="1" t="str">
        <v>2025-08-25</v>
      </c>
      <c r="F26" s="1">
        <v>181</v>
      </c>
      <c r="G26" s="17">
        <v>1.2E-2</v>
      </c>
      <c r="H26" s="16">
        <v>59506.849315067448</v>
      </c>
      <c r="I26" s="24">
        <v>0.99305924626489106</v>
      </c>
    </row>
    <row r="27" spans="2:10">
      <c r="B27" s="1"/>
    </row>
    <row r="28" spans="2:10">
      <c r="B28" s="1"/>
      <c r="D28" s="1"/>
      <c r="E28" s="5"/>
    </row>
    <row r="29" spans="2:10">
      <c r="D29" s="1"/>
      <c r="E29" s="5"/>
    </row>
    <row r="30" spans="2:10">
      <c r="D30" s="1"/>
      <c r="E30" s="5"/>
    </row>
    <row r="31" spans="2:10">
      <c r="D31" s="1"/>
      <c r="E31" s="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2.2</vt:lpstr>
      <vt:lpstr>2.20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2025-01-18T20:53:43Z</dcterms:modified>
</cp:coreProperties>
</file>