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Python Scripts\1 QuantLib\0.MyBook-QL\"/>
    </mc:Choice>
  </mc:AlternateContent>
  <xr:revisionPtr revIDLastSave="0" documentId="13_ncr:1_{DFEEA5B0-8FAE-4ED8-BB1D-2606619332CE}" xr6:coauthVersionLast="47" xr6:coauthVersionMax="47" xr10:uidLastSave="{00000000-0000-0000-0000-000000000000}"/>
  <bookViews>
    <workbookView xWindow="43350" yWindow="1780" windowWidth="19680" windowHeight="13750" xr2:uid="{3F761A01-EDA1-419E-B114-1DCC7F7BFCB4}"/>
  </bookViews>
  <sheets>
    <sheet name="4.1" sheetId="5" r:id="rId1"/>
  </sheets>
  <functionGroups builtInGroupCount="19">
    <functionGroup name="Commands"/>
  </functionGroups>
  <calcPr calcId="191029"/>
  <extLst>
    <ext xmlns:x14="http://schemas.microsoft.com/office/spreadsheetml/2009/9/main" uri="{8193D73E-4604-4355-AFF4-8A2333D13BE4}">
      <x14:definedNames>
        <x14:definedName name="bondCAL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borD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iborSWAP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5" l="1" a="1"/>
  <c r="E14" i="5" l="1"/>
  <c r="E11" i="5"/>
  <c r="D9" i="5"/>
  <c r="D6" i="5"/>
  <c r="D15" i="5"/>
  <c r="D12" i="5"/>
  <c r="E9" i="5"/>
  <c r="D18" i="5"/>
  <c r="E15" i="5"/>
  <c r="E6" i="5"/>
  <c r="D10" i="5"/>
  <c r="E12" i="5"/>
  <c r="D16" i="5"/>
  <c r="E18" i="5"/>
  <c r="E7" i="5"/>
  <c r="E10" i="5"/>
  <c r="D7" i="5"/>
  <c r="E13" i="5"/>
  <c r="E16" i="5"/>
  <c r="D13" i="5"/>
  <c r="D8" i="5"/>
  <c r="D11" i="5"/>
  <c r="D17" i="5"/>
  <c r="E8" i="5"/>
  <c r="E17" i="5"/>
  <c r="D14" i="5"/>
</calcChain>
</file>

<file path=xl/sharedStrings.xml><?xml version="1.0" encoding="utf-8"?>
<sst xmlns="http://schemas.openxmlformats.org/spreadsheetml/2006/main" count="30" uniqueCount="29">
  <si>
    <t>起算日</t>
    <rPh sb="0" eb="3">
      <t>キサンビ</t>
    </rPh>
    <phoneticPr fontId="1"/>
  </si>
  <si>
    <t>満期日</t>
    <rPh sb="0" eb="3">
      <t>マンキビ</t>
    </rPh>
    <phoneticPr fontId="1"/>
  </si>
  <si>
    <t>クーポン</t>
    <phoneticPr fontId="1"/>
  </si>
  <si>
    <t>カレンダー</t>
    <phoneticPr fontId="1"/>
  </si>
  <si>
    <t>DateGenルール</t>
    <phoneticPr fontId="1"/>
  </si>
  <si>
    <t>額面</t>
    <rPh sb="0" eb="2">
      <t>ガクメン</t>
    </rPh>
    <phoneticPr fontId="1"/>
  </si>
  <si>
    <t>市場利回り</t>
    <rPh sb="0" eb="2">
      <t>シジョウ</t>
    </rPh>
    <rPh sb="2" eb="4">
      <t>リマワ</t>
    </rPh>
    <phoneticPr fontId="1"/>
  </si>
  <si>
    <t>受渡日数</t>
    <rPh sb="0" eb="2">
      <t>ウケワタシ</t>
    </rPh>
    <rPh sb="2" eb="4">
      <t>ニッスウ</t>
    </rPh>
    <phoneticPr fontId="1"/>
  </si>
  <si>
    <t>利回り計算法</t>
    <rPh sb="0" eb="2">
      <t>リマワ</t>
    </rPh>
    <rPh sb="3" eb="5">
      <t>ケイサン</t>
    </rPh>
    <rPh sb="5" eb="6">
      <t>ホウ</t>
    </rPh>
    <phoneticPr fontId="1"/>
  </si>
  <si>
    <t>日数計算法</t>
    <rPh sb="0" eb="2">
      <t>ニッスウ</t>
    </rPh>
    <rPh sb="2" eb="4">
      <t>ケイサン</t>
    </rPh>
    <rPh sb="4" eb="5">
      <t>ホウ</t>
    </rPh>
    <phoneticPr fontId="1"/>
  </si>
  <si>
    <t>利払頻度</t>
    <rPh sb="0" eb="2">
      <t>リバライ</t>
    </rPh>
    <rPh sb="2" eb="4">
      <t>ヒンド</t>
    </rPh>
    <phoneticPr fontId="1"/>
  </si>
  <si>
    <t>MITSUBISHI HC CAPITAL UK PLC</t>
    <phoneticPr fontId="1"/>
  </si>
  <si>
    <t>XS2502884849</t>
    <phoneticPr fontId="1"/>
  </si>
  <si>
    <t>取引日</t>
    <rPh sb="0" eb="3">
      <t>トリヒキビ</t>
    </rPh>
    <phoneticPr fontId="1"/>
  </si>
  <si>
    <t>(ISIN)</t>
    <phoneticPr fontId="1"/>
  </si>
  <si>
    <t>(発行体名称)</t>
    <rPh sb="1" eb="4">
      <t>ハッコウタイ</t>
    </rPh>
    <rPh sb="4" eb="6">
      <t>メイショウ</t>
    </rPh>
    <phoneticPr fontId="1"/>
  </si>
  <si>
    <t>取引データ</t>
    <rPh sb="0" eb="2">
      <t>トリヒキ</t>
    </rPh>
    <phoneticPr fontId="1"/>
  </si>
  <si>
    <t>債券詳細2</t>
    <rPh sb="0" eb="2">
      <t>サイケン</t>
    </rPh>
    <rPh sb="2" eb="4">
      <t>ショウサイ</t>
    </rPh>
    <phoneticPr fontId="1"/>
  </si>
  <si>
    <t>債券詳細1</t>
    <rPh sb="0" eb="2">
      <t>サイケン</t>
    </rPh>
    <rPh sb="2" eb="4">
      <t>ショウサイ</t>
    </rPh>
    <phoneticPr fontId="1"/>
  </si>
  <si>
    <t>dc30</t>
  </si>
  <si>
    <t>freqSA</t>
  </si>
  <si>
    <t>unADJ</t>
  </si>
  <si>
    <t>EoMf</t>
  </si>
  <si>
    <t>cmpdCMP</t>
    <phoneticPr fontId="1"/>
  </si>
  <si>
    <t>calJP</t>
    <phoneticPr fontId="1"/>
  </si>
  <si>
    <t>dtGENb</t>
    <phoneticPr fontId="1"/>
  </si>
  <si>
    <t>利払日CONV</t>
    <rPh sb="0" eb="2">
      <t>リバラ</t>
    </rPh>
    <rPh sb="2" eb="3">
      <t>ビ</t>
    </rPh>
    <phoneticPr fontId="1"/>
  </si>
  <si>
    <t>満期日CONV</t>
    <rPh sb="0" eb="3">
      <t>マンキビ</t>
    </rPh>
    <phoneticPr fontId="1"/>
  </si>
  <si>
    <t>EndOfMonth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</si>
</sst>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0%"/>
    <numFmt numFmtId="177" formatCode="#,##0.00000_ "/>
    <numFmt numFmtId="178" formatCode="#,##0.000000;[Red]\-#,##0.000000"/>
    <numFmt numFmtId="179" formatCode="0.00000"/>
    <numFmt numFmtId="180" formatCode="0.00000%"/>
    <numFmt numFmtId="183" formatCode="#,##0.00000;[Red]\-#,##0.00000"/>
    <numFmt numFmtId="184" formatCode="#,##0_ "/>
  </numFmts>
  <fonts count="6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11"/>
      <color theme="1"/>
      <name val="Arial Unicode MS"/>
      <family val="2"/>
      <charset val="128"/>
    </font>
    <font>
      <sz val="11"/>
      <color theme="1"/>
      <name val="游ゴシック"/>
      <family val="2"/>
      <charset val="128"/>
      <scheme val="minor"/>
    </font>
    <font>
      <b/>
      <u/>
      <sz val="11"/>
      <color theme="1"/>
      <name val="Arial Unicode MS"/>
      <family val="3"/>
      <charset val="128"/>
    </font>
    <font>
      <sz val="10"/>
      <name val="Arial Unicode MS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40" fontId="0" fillId="0" borderId="0" xfId="1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178" fontId="0" fillId="0" borderId="0" xfId="1" applyNumberFormat="1" applyFont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left" vertical="center"/>
    </xf>
    <xf numFmtId="180" fontId="0" fillId="3" borderId="0" xfId="3" quotePrefix="1" applyNumberFormat="1" applyFont="1" applyFill="1" applyAlignment="1">
      <alignment horizontal="center" vertical="center"/>
    </xf>
    <xf numFmtId="176" fontId="0" fillId="0" borderId="0" xfId="3" applyNumberFormat="1" applyFont="1" applyAlignment="1">
      <alignment horizontal="center" vertical="center"/>
    </xf>
    <xf numFmtId="0" fontId="5" fillId="4" borderId="0" xfId="0" applyFont="1" applyFill="1" applyAlignment="1">
      <alignment horizontal="left" vertical="center"/>
    </xf>
    <xf numFmtId="14" fontId="0" fillId="0" borderId="0" xfId="0" quotePrefix="1" applyNumberFormat="1" applyAlignment="1">
      <alignment horizontal="center" vertical="center"/>
    </xf>
    <xf numFmtId="183" fontId="0" fillId="0" borderId="0" xfId="1" applyNumberFormat="1" applyFont="1" applyAlignment="1">
      <alignment horizontal="center" vertical="center"/>
    </xf>
    <xf numFmtId="184" fontId="0" fillId="0" borderId="0" xfId="3" applyNumberFormat="1" applyFont="1" applyAlignment="1">
      <alignment horizontal="center" vertical="center"/>
    </xf>
    <xf numFmtId="0" fontId="0" fillId="2" borderId="1" xfId="0" applyFill="1" applyBorder="1" applyAlignment="1">
      <alignment horizontal="left" vertical="center"/>
    </xf>
  </cellXfs>
  <cellStyles count="4">
    <cellStyle name="パーセント" xfId="3" builtinId="5"/>
    <cellStyle name="桁区切り" xfId="1" builtinId="6"/>
    <cellStyle name="標準" xfId="0" builtinId="0"/>
    <cellStyle name="標準 2" xfId="2" xr:uid="{E7DA21B5-16FD-4166-A564-770414A7E7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5BB7E-2FAB-460C-A759-808B48C790E7}">
  <sheetPr codeName="Sheet4"/>
  <dimension ref="A1:G30"/>
  <sheetViews>
    <sheetView tabSelected="1" zoomScale="120" zoomScaleNormal="120" workbookViewId="0">
      <selection activeCell="B1" sqref="B1"/>
    </sheetView>
  </sheetViews>
  <sheetFormatPr defaultRowHeight="13"/>
  <cols>
    <col min="1" max="1" width="4.453125" style="3" customWidth="1"/>
    <col min="2" max="2" width="14.1796875" style="3" bestFit="1" customWidth="1"/>
    <col min="3" max="3" width="17.90625" style="1" customWidth="1"/>
    <col min="4" max="4" width="14.26953125" bestFit="1" customWidth="1"/>
    <col min="5" max="5" width="11.81640625" customWidth="1"/>
    <col min="6" max="7" width="12.36328125" style="1" bestFit="1" customWidth="1"/>
    <col min="9" max="9" width="12.36328125" bestFit="1" customWidth="1"/>
  </cols>
  <sheetData>
    <row r="1" spans="1:5">
      <c r="A1" s="6" t="s">
        <v>18</v>
      </c>
      <c r="D1" s="6" t="s">
        <v>16</v>
      </c>
    </row>
    <row r="2" spans="1:5">
      <c r="B2" s="14" t="s">
        <v>15</v>
      </c>
      <c r="C2" s="14" t="s">
        <v>11</v>
      </c>
      <c r="D2" s="3" t="s">
        <v>13</v>
      </c>
      <c r="E2" s="15">
        <v>44792</v>
      </c>
    </row>
    <row r="3" spans="1:5">
      <c r="B3" s="14" t="s">
        <v>14</v>
      </c>
      <c r="C3" s="14" t="s">
        <v>12</v>
      </c>
      <c r="D3" s="3" t="s">
        <v>7</v>
      </c>
      <c r="E3" s="2">
        <v>2</v>
      </c>
    </row>
    <row r="4" spans="1:5">
      <c r="B4" s="3" t="s">
        <v>0</v>
      </c>
      <c r="C4" s="15">
        <v>44770</v>
      </c>
      <c r="D4" s="11" t="s">
        <v>6</v>
      </c>
      <c r="E4" s="12">
        <v>1.4187099999999999E-2</v>
      </c>
    </row>
    <row r="5" spans="1:5">
      <c r="B5" s="3" t="s">
        <v>1</v>
      </c>
      <c r="C5" s="15">
        <v>45866</v>
      </c>
    </row>
    <row r="6" spans="1:5">
      <c r="B6" s="3" t="s">
        <v>5</v>
      </c>
      <c r="C6" s="2">
        <v>100</v>
      </c>
      <c r="D6" s="18" t="str">
        <f t="array" ref="D6:E18">bondCALC(E2:E4,C4:C7,C10:C17)</f>
        <v>計算結果</v>
      </c>
      <c r="E6" s="9" t="str">
        <v/>
      </c>
    </row>
    <row r="7" spans="1:5">
      <c r="B7" s="3" t="s">
        <v>2</v>
      </c>
      <c r="C7" s="5">
        <v>3.7000000000000002E-3</v>
      </c>
      <c r="D7" t="str">
        <v>受渡日</v>
      </c>
      <c r="E7" s="15">
        <v>44796</v>
      </c>
    </row>
    <row r="8" spans="1:5">
      <c r="D8" t="str">
        <v>前回利払日</v>
      </c>
      <c r="E8" s="15">
        <v>44770</v>
      </c>
    </row>
    <row r="9" spans="1:5">
      <c r="A9" s="6" t="s">
        <v>17</v>
      </c>
      <c r="C9" s="7"/>
      <c r="D9" t="str">
        <v>経過日数</v>
      </c>
      <c r="E9" s="17">
        <v>25</v>
      </c>
    </row>
    <row r="10" spans="1:5">
      <c r="B10" s="3" t="s">
        <v>3</v>
      </c>
      <c r="C10" t="s">
        <v>24</v>
      </c>
      <c r="D10" t="str">
        <v>経過利息</v>
      </c>
      <c r="E10" s="8">
        <v>2.5694444444446241E-2</v>
      </c>
    </row>
    <row r="11" spans="1:5">
      <c r="B11" t="s">
        <v>8</v>
      </c>
      <c r="C11" t="s">
        <v>23</v>
      </c>
      <c r="D11" s="3" t="str">
        <v>---- ---- ----</v>
      </c>
      <c r="E11" s="4" t="str">
        <v/>
      </c>
    </row>
    <row r="12" spans="1:5">
      <c r="B12" s="3" t="s">
        <v>9</v>
      </c>
      <c r="C12" t="s">
        <v>19</v>
      </c>
      <c r="D12" t="str">
        <v>クリーン価格</v>
      </c>
      <c r="E12" s="16">
        <v>97.000009986893616</v>
      </c>
    </row>
    <row r="13" spans="1:5">
      <c r="B13" s="3" t="s">
        <v>10</v>
      </c>
      <c r="C13" t="s">
        <v>20</v>
      </c>
      <c r="D13" s="3" t="str">
        <v>利含み価格</v>
      </c>
      <c r="E13" s="10">
        <v>97.025704431338056</v>
      </c>
    </row>
    <row r="14" spans="1:5">
      <c r="B14" s="3" t="s">
        <v>26</v>
      </c>
      <c r="C14" t="s">
        <v>21</v>
      </c>
      <c r="D14" s="3" t="str">
        <v>---- ---- ----</v>
      </c>
      <c r="E14" s="10" t="str">
        <v/>
      </c>
    </row>
    <row r="15" spans="1:5">
      <c r="B15" s="3" t="s">
        <v>27</v>
      </c>
      <c r="C15" t="s">
        <v>21</v>
      </c>
      <c r="D15" s="3" t="str">
        <v>マコーレイDur.</v>
      </c>
      <c r="E15" s="10">
        <v>2.9164962090842117</v>
      </c>
    </row>
    <row r="16" spans="1:5">
      <c r="B16" s="3" t="s">
        <v>4</v>
      </c>
      <c r="C16" t="s">
        <v>25</v>
      </c>
      <c r="D16" s="3" t="str">
        <v>修正Dur.</v>
      </c>
      <c r="E16" s="10">
        <v>2.8959536173021978</v>
      </c>
    </row>
    <row r="17" spans="1:5">
      <c r="A17" s="7"/>
      <c r="B17" s="3" t="s">
        <v>28</v>
      </c>
      <c r="C17" t="s">
        <v>22</v>
      </c>
      <c r="D17" s="3" t="str">
        <v>BPV</v>
      </c>
      <c r="E17" s="10">
        <v>-2.8098146188799175E-2</v>
      </c>
    </row>
    <row r="18" spans="1:5">
      <c r="A18"/>
      <c r="D18" s="3" t="str">
        <v>Convexity</v>
      </c>
      <c r="E18" s="10">
        <v>9.8495803440357381</v>
      </c>
    </row>
    <row r="19" spans="1:5">
      <c r="A19"/>
    </row>
    <row r="20" spans="1:5">
      <c r="A20"/>
      <c r="C20"/>
    </row>
    <row r="21" spans="1:5">
      <c r="A21"/>
      <c r="C21"/>
    </row>
    <row r="22" spans="1:5">
      <c r="A22"/>
      <c r="C22"/>
    </row>
    <row r="23" spans="1:5">
      <c r="A23"/>
      <c r="C23"/>
    </row>
    <row r="24" spans="1:5">
      <c r="A24"/>
      <c r="C24"/>
      <c r="D24" s="1"/>
      <c r="E24" s="2"/>
    </row>
    <row r="25" spans="1:5">
      <c r="C25"/>
      <c r="D25" s="1"/>
      <c r="E25" s="2"/>
    </row>
    <row r="26" spans="1:5">
      <c r="C26"/>
      <c r="D26" s="1"/>
      <c r="E26" s="2"/>
    </row>
    <row r="27" spans="1:5">
      <c r="C27"/>
    </row>
    <row r="28" spans="1:5">
      <c r="C28" s="13"/>
    </row>
    <row r="29" spans="1:5">
      <c r="C29" s="13"/>
    </row>
    <row r="30" spans="1:5">
      <c r="C30" s="1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4.1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2022-08-28T07:49:57Z</dcterms:created>
  <dcterms:modified xsi:type="dcterms:W3CDTF">2025-01-17T09:21:09Z</dcterms:modified>
</cp:coreProperties>
</file>