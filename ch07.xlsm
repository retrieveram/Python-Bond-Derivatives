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ocuments\Python Scripts\1 QuantLib\0.MyBook-QL\"/>
    </mc:Choice>
  </mc:AlternateContent>
  <xr:revisionPtr revIDLastSave="0" documentId="13_ncr:1_{5061AF71-BDC8-4C73-8621-E36DE6FB152E}" xr6:coauthVersionLast="47" xr6:coauthVersionMax="47" xr10:uidLastSave="{00000000-0000-0000-0000-000000000000}"/>
  <bookViews>
    <workbookView xWindow="43510" yWindow="2770" windowWidth="19680" windowHeight="13750" firstSheet="2" activeTab="2" xr2:uid="{9D408A93-0087-45EA-AF09-624C63ED6489}"/>
    <workbookView xWindow="43510" yWindow="2770" windowWidth="19680" windowHeight="13750" activeTab="2" xr2:uid="{9E29FF61-65C2-4F19-8922-212747B25389}"/>
    <workbookView xWindow="43510" yWindow="2770" windowWidth="19680" windowHeight="13750" xr2:uid="{CA16A159-D6EC-4315-B235-934047C20E4E}"/>
  </bookViews>
  <sheets>
    <sheet name="7.4" sheetId="30" r:id="rId1"/>
    <sheet name="7.11" sheetId="34" r:id="rId2"/>
    <sheet name="7.12" sheetId="36" r:id="rId3"/>
  </sheets>
  <functionGroups builtInGroupCount="19">
    <functionGroup name="Commands"/>
  </functionGroups>
  <externalReferences>
    <externalReference r:id="rId4"/>
  </externalReferences>
  <definedNames>
    <definedName name="__123Graph_A" hidden="1">[1]DATE!#REF!</definedName>
    <definedName name="__123Graph_B" hidden="1">[1]DATE!#REF!</definedName>
    <definedName name="__123Graph_C" hidden="1">[1]DATE!#REF!</definedName>
    <definedName name="__123Graph_D" hidden="1">[1]DATE!#REF!</definedName>
    <definedName name="__123Graph_E" hidden="1">[1]DATE!#REF!</definedName>
    <definedName name="__123Graph_F" hidden="1">[1]DATE!#REF!</definedName>
    <definedName name="__123Graph_LBL_A" hidden="1">[1]DATE!#REF!</definedName>
    <definedName name="__123Graph_LBL_B" hidden="1">[1]DATE!#REF!</definedName>
    <definedName name="__123Graph_X" hidden="1">[1]DATE!#REF!</definedName>
  </definedNames>
  <calcPr calcId="191029"/>
  <extLst>
    <ext xmlns:x14="http://schemas.microsoft.com/office/spreadsheetml/2009/9/main" uri="{8193D73E-4604-4355-AFF4-8A2333D13BE4}">
      <x14:definedNames>
        <x14:definedName name="bsCall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bsCalldel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Callgamm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Callthe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Callveg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Callvo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Option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bsPut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bsPutdel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Putgamm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Putthe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Putveg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Putvo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testDT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4" i="36" l="1"/>
  <c r="B24" i="30"/>
  <c r="B23" i="36"/>
  <c r="B22" i="36"/>
  <c r="B21" i="36"/>
  <c r="B10" i="36"/>
  <c r="B11" i="36" s="1"/>
  <c r="B13" i="36" s="1"/>
  <c r="H8" i="36"/>
  <c r="B12" i="36" s="1"/>
  <c r="F7" i="36"/>
  <c r="F6" i="36"/>
  <c r="B11" i="34"/>
  <c r="B13" i="34"/>
  <c r="B10" i="34"/>
  <c r="H9" i="36" l="1"/>
  <c r="B15" i="34"/>
  <c r="B6" i="36" l="1"/>
  <c r="B5" i="36"/>
  <c r="B15" i="36" s="1"/>
  <c r="B16" i="34"/>
  <c r="B17" i="34"/>
  <c r="B16" i="36" l="1"/>
  <c r="B17" i="36"/>
  <c r="B18" i="36" s="1"/>
  <c r="B19" i="36" s="1"/>
  <c r="B20" i="36" s="1"/>
  <c r="B18" i="34"/>
  <c r="B19" i="34" s="1"/>
  <c r="B6" i="30" l="1"/>
  <c r="B5" i="30"/>
  <c r="B10" i="30"/>
  <c r="B11" i="30" s="1"/>
  <c r="B12" i="30" l="1"/>
  <c r="B13" i="30"/>
  <c r="B15" i="30" l="1"/>
  <c r="B17" i="30" l="1"/>
  <c r="B23" i="30" s="1"/>
  <c r="B16" i="30"/>
  <c r="B21" i="30" s="1"/>
  <c r="B18" i="30" l="1"/>
  <c r="B19" i="30" s="1"/>
  <c r="B22" i="30"/>
  <c r="B20" i="30" l="1"/>
</calcChain>
</file>

<file path=xl/sharedStrings.xml><?xml version="1.0" encoding="utf-8"?>
<sst xmlns="http://schemas.openxmlformats.org/spreadsheetml/2006/main" count="127" uniqueCount="75">
  <si>
    <t>（Ｂ列の数式等）</t>
    <phoneticPr fontId="2"/>
  </si>
  <si>
    <t>ﾏﾈｰﾏｰｹｯﾄﾚｰﾄ</t>
    <phoneticPr fontId="2"/>
  </si>
  <si>
    <t>σ: ボラティリティー</t>
    <phoneticPr fontId="2"/>
  </si>
  <si>
    <t>σ√T</t>
    <phoneticPr fontId="2"/>
  </si>
  <si>
    <t>デルタ</t>
    <phoneticPr fontId="2"/>
  </si>
  <si>
    <t>支払日</t>
  </si>
  <si>
    <t>δ:テナー</t>
    <phoneticPr fontId="2"/>
  </si>
  <si>
    <t>アニュイティ</t>
    <phoneticPr fontId="2"/>
  </si>
  <si>
    <t>SOFR先物 (ノーマルモデル)</t>
    <rPh sb="4" eb="6">
      <t>サキモノ</t>
    </rPh>
    <phoneticPr fontId="2"/>
  </si>
  <si>
    <t>ガンマ</t>
    <phoneticPr fontId="1"/>
  </si>
  <si>
    <t>ベガ</t>
    <phoneticPr fontId="1"/>
  </si>
  <si>
    <t>取引日</t>
    <rPh sb="0" eb="3">
      <t>トリヒキビ</t>
    </rPh>
    <phoneticPr fontId="1"/>
  </si>
  <si>
    <t>満期日</t>
    <rPh sb="0" eb="3">
      <t>マンキビ</t>
    </rPh>
    <phoneticPr fontId="1"/>
  </si>
  <si>
    <t>N(d*pc)</t>
    <phoneticPr fontId="2"/>
  </si>
  <si>
    <t>=NORMDIST(B15,0,1,FALSE)</t>
    <phoneticPr fontId="2"/>
  </si>
  <si>
    <t>n(d*pc)</t>
    <phoneticPr fontId="2"/>
  </si>
  <si>
    <t>=NORMSDIST(B15)</t>
    <phoneticPr fontId="2"/>
  </si>
  <si>
    <t>d*pc</t>
    <phoneticPr fontId="2"/>
  </si>
  <si>
    <t>(基本的計算項目)</t>
    <rPh sb="1" eb="4">
      <t>キホンテキ</t>
    </rPh>
    <rPh sb="4" eb="6">
      <t>ケイサン</t>
    </rPh>
    <rPh sb="6" eb="8">
      <t>コウモク</t>
    </rPh>
    <phoneticPr fontId="1"/>
  </si>
  <si>
    <t>満期日数</t>
    <rPh sb="0" eb="2">
      <t>マンキ</t>
    </rPh>
    <rPh sb="2" eb="4">
      <t>ニッスウ</t>
    </rPh>
    <phoneticPr fontId="12"/>
  </si>
  <si>
    <t>(オプション計算項目)</t>
    <rPh sb="6" eb="8">
      <t>ケイサン</t>
    </rPh>
    <rPh sb="8" eb="10">
      <t>コウモク</t>
    </rPh>
    <phoneticPr fontId="1"/>
  </si>
  <si>
    <t>T : オプション満期年数</t>
    <rPh sb="9" eb="11">
      <t>マンキ</t>
    </rPh>
    <rPh sb="11" eb="12">
      <t>ネン</t>
    </rPh>
    <rPh sb="12" eb="13">
      <t>スウ</t>
    </rPh>
    <phoneticPr fontId="12"/>
  </si>
  <si>
    <r>
      <t>D</t>
    </r>
    <r>
      <rPr>
        <sz val="8"/>
        <rFont val="Arial Unicode MS"/>
        <family val="3"/>
        <charset val="128"/>
      </rPr>
      <t>T</t>
    </r>
    <r>
      <rPr>
        <sz val="11"/>
        <rFont val="Arial Unicode MS"/>
        <family val="3"/>
        <charset val="128"/>
      </rPr>
      <t xml:space="preserve"> : ディスカウント</t>
    </r>
    <phoneticPr fontId="12"/>
  </si>
  <si>
    <t>ノーマルコア</t>
    <phoneticPr fontId="1"/>
  </si>
  <si>
    <t>=B10/365</t>
    <phoneticPr fontId="2"/>
  </si>
  <si>
    <t>=1/(1+B8*B10/360)</t>
    <phoneticPr fontId="2"/>
  </si>
  <si>
    <t>=(B7*B11^0.5)</t>
    <phoneticPr fontId="2"/>
  </si>
  <si>
    <t>=B2*(B5-B6)/B13</t>
    <phoneticPr fontId="2"/>
  </si>
  <si>
    <t>pc : コール=1, プット=-1</t>
    <phoneticPr fontId="1"/>
  </si>
  <si>
    <t>=B12*B18</t>
    <phoneticPr fontId="2"/>
  </si>
  <si>
    <t>オプション価格</t>
    <rPh sb="5" eb="7">
      <t>カカク</t>
    </rPh>
    <phoneticPr fontId="2"/>
  </si>
  <si>
    <t>受渡代金(単位100ドル)</t>
    <rPh sb="0" eb="2">
      <t>ウケワタシ</t>
    </rPh>
    <rPh sb="2" eb="4">
      <t>ダイキン</t>
    </rPh>
    <phoneticPr fontId="2"/>
  </si>
  <si>
    <t>=2500*B19*100</t>
    <phoneticPr fontId="2"/>
  </si>
  <si>
    <t>セータ</t>
    <phoneticPr fontId="1"/>
  </si>
  <si>
    <t>=B12*B17/B13</t>
    <phoneticPr fontId="2"/>
  </si>
  <si>
    <t>=B12*B11^0.5*B17</t>
    <phoneticPr fontId="2"/>
  </si>
  <si>
    <t>=B8*B19-0.5*B7*B17*B12/B11^0.5</t>
    <phoneticPr fontId="2"/>
  </si>
  <si>
    <t>=B2*B12*B16</t>
    <phoneticPr fontId="2"/>
  </si>
  <si>
    <t>=B13*(B15*B16+B17)</t>
    <phoneticPr fontId="2"/>
  </si>
  <si>
    <t>Ｆ: (100-先物価格)/100</t>
    <rPh sb="8" eb="10">
      <t>サキモノ</t>
    </rPh>
    <rPh sb="10" eb="12">
      <t>カカク</t>
    </rPh>
    <phoneticPr fontId="2"/>
  </si>
  <si>
    <t>Ｘ: (100-行使価格)/100</t>
    <rPh sb="8" eb="10">
      <t>コウシ</t>
    </rPh>
    <rPh sb="10" eb="12">
      <t>カカク</t>
    </rPh>
    <phoneticPr fontId="2"/>
  </si>
  <si>
    <t xml:space="preserve"> r: リスクフリーレート</t>
    <phoneticPr fontId="2"/>
  </si>
  <si>
    <t>=(A6-A5)/360</t>
    <phoneticPr fontId="2"/>
  </si>
  <si>
    <t>=(A7-A6)/360</t>
    <phoneticPr fontId="1"/>
  </si>
  <si>
    <t>Act/360</t>
    <phoneticPr fontId="2"/>
  </si>
  <si>
    <t>NPV(額面10milドル)</t>
    <rPh sb="4" eb="6">
      <t>ガクメン</t>
    </rPh>
    <phoneticPr fontId="2"/>
  </si>
  <si>
    <t>(QL算出)</t>
    <rPh sb="3" eb="5">
      <t>サンシュツ</t>
    </rPh>
    <phoneticPr fontId="1"/>
  </si>
  <si>
    <t>=B19*10^7</t>
    <phoneticPr fontId="2"/>
  </si>
  <si>
    <t>DF</t>
    <phoneticPr fontId="2"/>
  </si>
  <si>
    <t>=(H5-H7)/H8</t>
    <phoneticPr fontId="2"/>
  </si>
  <si>
    <t>B5: 1年先 2年のスワップレートの計算</t>
    <phoneticPr fontId="1"/>
  </si>
  <si>
    <t>SOFRスワップション</t>
    <phoneticPr fontId="2"/>
  </si>
  <si>
    <t>=H9</t>
    <phoneticPr fontId="2"/>
  </si>
  <si>
    <t>=H8</t>
    <phoneticPr fontId="2"/>
  </si>
  <si>
    <t>Ｘ: ATM</t>
    <phoneticPr fontId="2"/>
  </si>
  <si>
    <t xml:space="preserve">Ｘ: </t>
    <phoneticPr fontId="2"/>
  </si>
  <si>
    <t>利息期間(日数)</t>
    <rPh sb="0" eb="4">
      <t>リソクキカン</t>
    </rPh>
    <rPh sb="5" eb="7">
      <t>ニッスウ</t>
    </rPh>
    <phoneticPr fontId="1"/>
  </si>
  <si>
    <t>満期日 (fixinig日)</t>
    <rPh sb="0" eb="3">
      <t>マンキビ</t>
    </rPh>
    <rPh sb="12" eb="13">
      <t>ビ</t>
    </rPh>
    <phoneticPr fontId="1"/>
  </si>
  <si>
    <t>TermSOFR Caplet</t>
    <phoneticPr fontId="2"/>
  </si>
  <si>
    <t>=B7*B11^0.5 (またはstdDEV列)</t>
    <rPh sb="22" eb="23">
      <t>レツ</t>
    </rPh>
    <phoneticPr fontId="2"/>
  </si>
  <si>
    <t>Ｆ: (atmFWD)</t>
    <phoneticPr fontId="2"/>
  </si>
  <si>
    <t>QLの計算結果(atmFWD列)</t>
    <rPh sb="2" eb="4">
      <t>ケイサン</t>
    </rPh>
    <rPh sb="4" eb="6">
      <t>ケッカ</t>
    </rPh>
    <rPh sb="14" eb="15">
      <t>レツ</t>
    </rPh>
    <phoneticPr fontId="2"/>
  </si>
  <si>
    <t>QLの計算結果(days列)</t>
    <rPh sb="2" eb="4">
      <t>ケイサン</t>
    </rPh>
    <rPh sb="4" eb="6">
      <t>ケッカ</t>
    </rPh>
    <rPh sb="12" eb="13">
      <t>レツ</t>
    </rPh>
    <phoneticPr fontId="2"/>
  </si>
  <si>
    <t>=B4-B3</t>
    <phoneticPr fontId="2"/>
  </si>
  <si>
    <t>オプションNPV</t>
    <phoneticPr fontId="2"/>
  </si>
  <si>
    <t>=B12*10^7*B8/360*B18</t>
    <phoneticPr fontId="2"/>
  </si>
  <si>
    <t xml:space="preserve"> </t>
    <phoneticPr fontId="2"/>
  </si>
  <si>
    <t>QLの計算結果(DF列)</t>
    <rPh sb="2" eb="4">
      <t>ケイサン</t>
    </rPh>
    <rPh sb="4" eb="6">
      <t>ケッカ</t>
    </rPh>
    <rPh sb="10" eb="11">
      <t>レツ</t>
    </rPh>
    <phoneticPr fontId="2"/>
  </si>
  <si>
    <t>Ｆ: 1yx2yスワップレート</t>
    <phoneticPr fontId="2"/>
  </si>
  <si>
    <t>1yx2yスワップ</t>
    <phoneticPr fontId="2"/>
  </si>
  <si>
    <t xml:space="preserve"> </t>
    <phoneticPr fontId="1"/>
  </si>
  <si>
    <r>
      <t>D</t>
    </r>
    <r>
      <rPr>
        <sz val="8"/>
        <rFont val="Arial Unicode MS"/>
        <family val="3"/>
        <charset val="128"/>
      </rPr>
      <t>T</t>
    </r>
    <r>
      <rPr>
        <sz val="11"/>
        <rFont val="Arial Unicode MS"/>
        <family val="3"/>
        <charset val="128"/>
      </rPr>
      <t>: アニュイティ</t>
    </r>
    <phoneticPr fontId="12"/>
  </si>
  <si>
    <t>F列 計算式</t>
    <rPh sb="1" eb="2">
      <t>レツ</t>
    </rPh>
    <rPh sb="3" eb="5">
      <t>ケイサン</t>
    </rPh>
    <rPh sb="5" eb="6">
      <t>シキ</t>
    </rPh>
    <phoneticPr fontId="2"/>
  </si>
  <si>
    <t>H列 計算式</t>
    <rPh sb="1" eb="2">
      <t>レツ</t>
    </rPh>
    <rPh sb="3" eb="5">
      <t>ケイサン</t>
    </rPh>
    <rPh sb="5" eb="6">
      <t>シキ</t>
    </rPh>
    <phoneticPr fontId="2"/>
  </si>
  <si>
    <t>1ySOFRswap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</si>
</sst>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#,##0.00000;[Red]\-#,##0.00000"/>
    <numFmt numFmtId="177" formatCode="0.0000%"/>
    <numFmt numFmtId="178" formatCode="#,##0.000000;[Red]\-#,##0.000000"/>
    <numFmt numFmtId="179" formatCode="0.00000"/>
    <numFmt numFmtId="180" formatCode="0.00000%"/>
    <numFmt numFmtId="181" formatCode="mm/dd/yy;@"/>
    <numFmt numFmtId="182" formatCode="#,##0_ "/>
    <numFmt numFmtId="183" formatCode="&quot;価&quot;&quot;格&quot;\ #,##0.00000;[Red]\-#,##0.00000"/>
    <numFmt numFmtId="184" formatCode="yyyy\-mm\-dd;@"/>
    <numFmt numFmtId="185" formatCode="0.000000"/>
    <numFmt numFmtId="186" formatCode="#,##0.00_ "/>
  </numFmts>
  <fonts count="15">
    <font>
      <sz val="11"/>
      <color theme="1"/>
      <name val="Arial Unicode MS"/>
      <family val="2"/>
      <charset val="128"/>
    </font>
    <font>
      <sz val="6"/>
      <name val="Arial Unicode MS"/>
      <family val="2"/>
      <charset val="128"/>
    </font>
    <font>
      <sz val="11"/>
      <name val="ＭＳ Ｐゴシック"/>
      <family val="3"/>
      <charset val="128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name val="Arial Unicode MS"/>
      <family val="3"/>
      <charset val="128"/>
    </font>
    <font>
      <sz val="10"/>
      <name val="Arial Unicode MS"/>
      <family val="3"/>
      <charset val="128"/>
    </font>
    <font>
      <sz val="8"/>
      <name val="Arial Unicode MS"/>
      <family val="3"/>
      <charset val="128"/>
    </font>
    <font>
      <sz val="11"/>
      <color theme="1"/>
      <name val="Arial Unicode MS"/>
      <family val="3"/>
      <charset val="128"/>
    </font>
    <font>
      <sz val="10"/>
      <name val="Arial"/>
      <family val="2"/>
    </font>
    <font>
      <sz val="11"/>
      <color theme="1"/>
      <name val="Arial Unicode MS"/>
      <family val="2"/>
      <charset val="128"/>
    </font>
    <font>
      <sz val="7"/>
      <color rgb="FF000000"/>
      <name val="Consolas"/>
      <family val="3"/>
    </font>
    <font>
      <sz val="6"/>
      <name val="ＭＳ Ｐゴシック"/>
      <family val="3"/>
      <charset val="128"/>
    </font>
    <font>
      <b/>
      <sz val="8"/>
      <name val="Arial Unicode MS"/>
      <family val="3"/>
      <charset val="128"/>
    </font>
    <font>
      <b/>
      <sz val="10"/>
      <name val="Arial Unicode MS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4">
    <xf numFmtId="0" fontId="0" fillId="0" borderId="0">
      <alignment vertical="center"/>
    </xf>
    <xf numFmtId="0" fontId="2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/>
    <xf numFmtId="0" fontId="4" fillId="0" borderId="0">
      <alignment vertical="center"/>
    </xf>
    <xf numFmtId="0" fontId="3" fillId="0" borderId="0"/>
    <xf numFmtId="9" fontId="4" fillId="0" borderId="0" applyFont="0" applyFill="0" applyBorder="0" applyAlignment="0" applyProtection="0">
      <alignment vertical="center"/>
    </xf>
    <xf numFmtId="40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9" fillId="0" borderId="0" applyNumberFormat="0"/>
    <xf numFmtId="38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0" borderId="0" xfId="1" applyFont="1">
      <alignment vertical="center"/>
    </xf>
    <xf numFmtId="176" fontId="5" fillId="0" borderId="0" xfId="2" applyNumberFormat="1" applyFont="1">
      <alignment vertical="center"/>
    </xf>
    <xf numFmtId="0" fontId="6" fillId="0" borderId="0" xfId="1" quotePrefix="1" applyFont="1">
      <alignment vertical="center"/>
    </xf>
    <xf numFmtId="178" fontId="5" fillId="0" borderId="0" xfId="2" applyNumberFormat="1" applyFont="1">
      <alignment vertical="center"/>
    </xf>
    <xf numFmtId="179" fontId="5" fillId="0" borderId="0" xfId="1" applyNumberFormat="1" applyFont="1">
      <alignment vertical="center"/>
    </xf>
    <xf numFmtId="0" fontId="5" fillId="0" borderId="0" xfId="1" applyFont="1" applyAlignment="1"/>
    <xf numFmtId="0" fontId="5" fillId="0" borderId="1" xfId="1" applyFont="1" applyBorder="1">
      <alignment vertical="center"/>
    </xf>
    <xf numFmtId="0" fontId="8" fillId="0" borderId="0" xfId="9" applyFont="1">
      <alignment vertical="center"/>
    </xf>
    <xf numFmtId="14" fontId="8" fillId="0" borderId="0" xfId="9" applyNumberFormat="1" applyFont="1">
      <alignment vertical="center"/>
    </xf>
    <xf numFmtId="0" fontId="6" fillId="0" borderId="0" xfId="11" applyFont="1"/>
    <xf numFmtId="0" fontId="6" fillId="0" borderId="0" xfId="11" applyFont="1" applyAlignment="1">
      <alignment horizontal="center"/>
    </xf>
    <xf numFmtId="0" fontId="7" fillId="0" borderId="1" xfId="11" applyFont="1" applyBorder="1" applyAlignment="1">
      <alignment horizontal="center"/>
    </xf>
    <xf numFmtId="0" fontId="6" fillId="0" borderId="1" xfId="11" applyFont="1" applyBorder="1" applyAlignment="1">
      <alignment horizontal="center"/>
    </xf>
    <xf numFmtId="181" fontId="6" fillId="0" borderId="0" xfId="11" applyNumberFormat="1" applyFont="1" applyAlignment="1">
      <alignment horizontal="center"/>
    </xf>
    <xf numFmtId="178" fontId="6" fillId="0" borderId="0" xfId="2" applyNumberFormat="1" applyFont="1" applyAlignment="1">
      <alignment horizontal="center"/>
    </xf>
    <xf numFmtId="0" fontId="6" fillId="0" borderId="0" xfId="11" applyFont="1" applyAlignment="1">
      <alignment horizontal="right"/>
    </xf>
    <xf numFmtId="0" fontId="5" fillId="0" borderId="0" xfId="1" applyFont="1" applyAlignment="1">
      <alignment horizontal="left" vertical="top" wrapText="1"/>
    </xf>
    <xf numFmtId="0" fontId="5" fillId="0" borderId="1" xfId="1" applyFont="1" applyBorder="1" applyAlignment="1">
      <alignment horizontal="center"/>
    </xf>
    <xf numFmtId="0" fontId="5" fillId="4" borderId="0" xfId="1" applyFont="1" applyFill="1" applyAlignment="1"/>
    <xf numFmtId="0" fontId="5" fillId="4" borderId="0" xfId="1" applyFont="1" applyFill="1">
      <alignment vertical="center"/>
    </xf>
    <xf numFmtId="40" fontId="5" fillId="4" borderId="0" xfId="2" applyNumberFormat="1" applyFont="1" applyFill="1">
      <alignment vertical="center"/>
    </xf>
    <xf numFmtId="183" fontId="6" fillId="0" borderId="0" xfId="2" applyNumberFormat="1" applyFont="1" applyAlignment="1">
      <alignment horizontal="left" vertical="center"/>
    </xf>
    <xf numFmtId="177" fontId="5" fillId="0" borderId="1" xfId="13" applyNumberFormat="1" applyFont="1" applyBorder="1">
      <alignment vertical="center"/>
    </xf>
    <xf numFmtId="177" fontId="5" fillId="4" borderId="0" xfId="13" applyNumberFormat="1" applyFont="1" applyFill="1">
      <alignment vertical="center"/>
    </xf>
    <xf numFmtId="2" fontId="5" fillId="4" borderId="0" xfId="1" applyNumberFormat="1" applyFont="1" applyFill="1">
      <alignment vertical="center"/>
    </xf>
    <xf numFmtId="177" fontId="5" fillId="0" borderId="0" xfId="13" applyNumberFormat="1" applyFont="1" applyFill="1">
      <alignment vertical="center"/>
    </xf>
    <xf numFmtId="10" fontId="5" fillId="4" borderId="0" xfId="3" applyNumberFormat="1" applyFont="1" applyFill="1">
      <alignment vertical="center"/>
    </xf>
    <xf numFmtId="10" fontId="5" fillId="4" borderId="0" xfId="13" applyNumberFormat="1" applyFont="1" applyFill="1">
      <alignment vertical="center"/>
    </xf>
    <xf numFmtId="182" fontId="5" fillId="5" borderId="0" xfId="12" applyNumberFormat="1" applyFont="1" applyFill="1">
      <alignment vertical="center"/>
    </xf>
    <xf numFmtId="14" fontId="5" fillId="5" borderId="0" xfId="1" applyNumberFormat="1" applyFont="1" applyFill="1">
      <alignment vertical="center"/>
    </xf>
    <xf numFmtId="177" fontId="5" fillId="5" borderId="0" xfId="13" applyNumberFormat="1" applyFont="1" applyFill="1">
      <alignment vertical="center"/>
    </xf>
    <xf numFmtId="177" fontId="5" fillId="5" borderId="0" xfId="3" applyNumberFormat="1" applyFont="1" applyFill="1">
      <alignment vertical="center"/>
    </xf>
    <xf numFmtId="184" fontId="6" fillId="0" borderId="0" xfId="11" applyNumberFormat="1" applyFont="1" applyAlignment="1">
      <alignment horizontal="center"/>
    </xf>
    <xf numFmtId="185" fontId="11" fillId="0" borderId="0" xfId="0" applyNumberFormat="1" applyFont="1">
      <alignment vertical="center"/>
    </xf>
    <xf numFmtId="185" fontId="6" fillId="0" borderId="0" xfId="11" applyNumberFormat="1" applyFont="1"/>
    <xf numFmtId="0" fontId="6" fillId="0" borderId="2" xfId="11" applyFont="1" applyBorder="1" applyAlignment="1">
      <alignment horizontal="right"/>
    </xf>
    <xf numFmtId="177" fontId="6" fillId="3" borderId="0" xfId="3" applyNumberFormat="1" applyFont="1" applyFill="1" applyBorder="1" applyAlignment="1">
      <alignment horizontal="center"/>
    </xf>
    <xf numFmtId="0" fontId="6" fillId="6" borderId="1" xfId="11" applyFont="1" applyFill="1" applyBorder="1"/>
    <xf numFmtId="0" fontId="5" fillId="6" borderId="1" xfId="1" applyFont="1" applyFill="1" applyBorder="1" applyAlignment="1">
      <alignment vertical="top" wrapText="1"/>
    </xf>
    <xf numFmtId="186" fontId="5" fillId="4" borderId="0" xfId="13" applyNumberFormat="1" applyFont="1" applyFill="1">
      <alignment vertical="center"/>
    </xf>
    <xf numFmtId="0" fontId="13" fillId="0" borderId="0" xfId="11" quotePrefix="1" applyFont="1" applyAlignment="1">
      <alignment horizontal="left"/>
    </xf>
    <xf numFmtId="0" fontId="14" fillId="0" borderId="0" xfId="11" applyFont="1"/>
    <xf numFmtId="176" fontId="6" fillId="0" borderId="2" xfId="2" applyNumberFormat="1" applyFont="1" applyBorder="1" applyAlignment="1">
      <alignment horizontal="center"/>
    </xf>
    <xf numFmtId="178" fontId="6" fillId="0" borderId="0" xfId="2" applyNumberFormat="1" applyFont="1" applyFill="1" applyBorder="1" applyAlignment="1">
      <alignment horizontal="center"/>
    </xf>
    <xf numFmtId="178" fontId="6" fillId="0" borderId="0" xfId="2" applyNumberFormat="1" applyFont="1" applyBorder="1" applyAlignment="1">
      <alignment horizontal="center"/>
    </xf>
    <xf numFmtId="0" fontId="6" fillId="0" borderId="0" xfId="11" applyFont="1" applyAlignment="1">
      <alignment horizontal="left"/>
    </xf>
    <xf numFmtId="0" fontId="6" fillId="0" borderId="0" xfId="11" quotePrefix="1" applyFont="1" applyAlignment="1">
      <alignment horizontal="left"/>
    </xf>
    <xf numFmtId="0" fontId="6" fillId="2" borderId="1" xfId="1" applyFont="1" applyFill="1" applyBorder="1" applyAlignment="1">
      <alignment horizontal="right" vertical="center"/>
    </xf>
    <xf numFmtId="180" fontId="5" fillId="0" borderId="0" xfId="13" applyNumberFormat="1" applyFont="1">
      <alignment vertical="center"/>
    </xf>
    <xf numFmtId="0" fontId="5" fillId="0" borderId="1" xfId="1" applyFont="1" applyBorder="1" applyAlignment="1">
      <alignment horizontal="left" vertical="top" wrapText="1"/>
    </xf>
    <xf numFmtId="0" fontId="6" fillId="0" borderId="0" xfId="11" applyFont="1" applyAlignment="1">
      <alignment horizontal="left"/>
    </xf>
  </cellXfs>
  <cellStyles count="14">
    <cellStyle name="パーセント" xfId="13" builtinId="5"/>
    <cellStyle name="パーセント 2" xfId="3" xr:uid="{7674314B-11C4-41A5-B859-42343F300B86}"/>
    <cellStyle name="パーセント 3" xfId="7" xr:uid="{374877F2-4EB9-4E4C-B8D3-6E0A549D262C}"/>
    <cellStyle name="桁区切り" xfId="12" builtinId="6"/>
    <cellStyle name="桁区切り [0.00] 2" xfId="8" xr:uid="{7F545A23-7C26-4F28-BFFF-32B5FC263BC8}"/>
    <cellStyle name="桁区切り 2" xfId="2" xr:uid="{BDAE2540-214A-48E3-8A2A-7D2B9D788718}"/>
    <cellStyle name="桁区切り 3" xfId="10" xr:uid="{AAFA9F11-84D2-4E77-923D-EDBA7B4E2C08}"/>
    <cellStyle name="標準" xfId="0" builtinId="0"/>
    <cellStyle name="標準 2" xfId="1" xr:uid="{53CA2028-0C5A-4D66-A8EA-20DCC6C761D7}"/>
    <cellStyle name="標準 2 2" xfId="6" xr:uid="{415A4CB9-0F7A-4F77-8C5A-30523EBF40F4}"/>
    <cellStyle name="標準 3" xfId="4" xr:uid="{A594CD0A-DA7A-433B-8A91-8FA2014B49BB}"/>
    <cellStyle name="標準 3 2" xfId="9" xr:uid="{24ED6368-7DFE-4141-B7EF-CE8291D03DCD}"/>
    <cellStyle name="標準 4" xfId="5" xr:uid="{4DBDDAA2-0E02-4DF5-9646-54B033516589}"/>
    <cellStyle name="標準_chap04" xfId="11" xr:uid="{85CCEB24-FF52-44C7-AE61-A97ACA18A8F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560917</xdr:colOff>
      <xdr:row>5</xdr:row>
      <xdr:rowOff>100542</xdr:rowOff>
    </xdr:from>
    <xdr:to>
      <xdr:col>10</xdr:col>
      <xdr:colOff>63501</xdr:colOff>
      <xdr:row>10</xdr:row>
      <xdr:rowOff>95249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D7A8D21-30E3-CE14-0C91-C47131BA557F}"/>
            </a:ext>
          </a:extLst>
        </xdr:cNvPr>
        <xdr:cNvSpPr txBox="1"/>
      </xdr:nvSpPr>
      <xdr:spPr>
        <a:xfrm>
          <a:off x="6408209" y="1016000"/>
          <a:ext cx="1561042" cy="814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H8=SumProduct</a:t>
          </a:r>
        </a:p>
        <a:p>
          <a:r>
            <a:rPr kumimoji="1" lang="en-US" altLang="ja-JP" sz="1100"/>
            <a:t>(F6:F7,H6:H7)</a:t>
          </a:r>
          <a:endParaRPr kumimoji="1" lang="ja-JP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kaguraoka-old\ISPT&#26908;&#35342;tes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p_siguma (5)"/>
      <sheetName val="cap_siguma (4)"/>
      <sheetName val="大和"/>
      <sheetName val="swaption_siguma"/>
      <sheetName val="USDN"/>
      <sheetName val="swaption"/>
      <sheetName val="cap_siguma＿ｆ) (2)"/>
      <sheetName val="cap_siguma (3)"/>
      <sheetName val="cap_siguma (2)"/>
      <sheetName val="Calc (2)"/>
      <sheetName val="cap_siguma"/>
      <sheetName val="TS"/>
      <sheetName val="USD_old"/>
      <sheetName val="D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17FC3-0B0D-451A-BB13-45C3E48C104C}">
  <sheetPr codeName="Sheet2"/>
  <dimension ref="A1:D42"/>
  <sheetViews>
    <sheetView workbookViewId="0">
      <selection sqref="A1:B1"/>
    </sheetView>
    <sheetView zoomScale="120" zoomScaleNormal="120" workbookViewId="1">
      <selection activeCell="B19" sqref="B19"/>
    </sheetView>
    <sheetView tabSelected="1" zoomScale="120" zoomScaleNormal="120" workbookViewId="2">
      <selection sqref="A1:B1"/>
    </sheetView>
  </sheetViews>
  <sheetFormatPr defaultColWidth="8.6328125" defaultRowHeight="13"/>
  <cols>
    <col min="1" max="1" width="25.1796875" style="2" customWidth="1"/>
    <col min="2" max="2" width="11.08984375" style="2" customWidth="1"/>
    <col min="3" max="3" width="28.26953125" style="2" bestFit="1" customWidth="1"/>
    <col min="4" max="16384" width="8.6328125" style="2"/>
  </cols>
  <sheetData>
    <row r="1" spans="1:3" ht="13.5" customHeight="1">
      <c r="A1" s="51" t="s">
        <v>8</v>
      </c>
      <c r="B1" s="51"/>
      <c r="C1" s="1" t="s">
        <v>0</v>
      </c>
    </row>
    <row r="2" spans="1:3" ht="17.5" customHeight="1">
      <c r="A2" s="18" t="s">
        <v>28</v>
      </c>
      <c r="B2" s="30">
        <v>-1</v>
      </c>
      <c r="C2" s="4"/>
    </row>
    <row r="3" spans="1:3" ht="17.5" customHeight="1">
      <c r="A3" s="18" t="s">
        <v>11</v>
      </c>
      <c r="B3" s="31">
        <v>45195</v>
      </c>
      <c r="C3" s="4"/>
    </row>
    <row r="4" spans="1:3">
      <c r="A4" s="2" t="s">
        <v>12</v>
      </c>
      <c r="B4" s="31">
        <v>45275</v>
      </c>
      <c r="C4" s="4"/>
    </row>
    <row r="5" spans="1:3">
      <c r="A5" s="2" t="s">
        <v>39</v>
      </c>
      <c r="B5" s="32">
        <f>(100-C5)/100</f>
        <v>5.459999999999994E-2</v>
      </c>
      <c r="C5" s="23">
        <v>94.54</v>
      </c>
    </row>
    <row r="6" spans="1:3">
      <c r="A6" s="2" t="s">
        <v>40</v>
      </c>
      <c r="B6" s="32">
        <f>(100-C6)/100</f>
        <v>5.5E-2</v>
      </c>
      <c r="C6" s="23">
        <v>94.5</v>
      </c>
    </row>
    <row r="7" spans="1:3">
      <c r="A7" s="2" t="s">
        <v>2</v>
      </c>
      <c r="B7" s="32">
        <v>5.0000000000000001E-3</v>
      </c>
      <c r="C7" s="4"/>
    </row>
    <row r="8" spans="1:3">
      <c r="A8" s="2" t="s">
        <v>41</v>
      </c>
      <c r="B8" s="33">
        <v>5.3999999999999999E-2</v>
      </c>
      <c r="C8" s="4" t="s">
        <v>1</v>
      </c>
    </row>
    <row r="9" spans="1:3">
      <c r="A9" s="19" t="s">
        <v>18</v>
      </c>
      <c r="C9" s="4"/>
    </row>
    <row r="10" spans="1:3">
      <c r="A10" s="2" t="s">
        <v>19</v>
      </c>
      <c r="B10" s="2">
        <f>B4-B3</f>
        <v>80</v>
      </c>
      <c r="C10" s="4"/>
    </row>
    <row r="11" spans="1:3">
      <c r="A11" s="2" t="s">
        <v>21</v>
      </c>
      <c r="B11" s="3">
        <f>B10/365</f>
        <v>0.21917808219178081</v>
      </c>
      <c r="C11" s="4" t="s">
        <v>24</v>
      </c>
    </row>
    <row r="12" spans="1:3">
      <c r="A12" s="2" t="s">
        <v>22</v>
      </c>
      <c r="B12" s="5">
        <f>1/(1+B8*B10/360)</f>
        <v>0.98814229249011853</v>
      </c>
      <c r="C12" s="4" t="s">
        <v>25</v>
      </c>
    </row>
    <row r="13" spans="1:3">
      <c r="A13" s="2" t="s">
        <v>3</v>
      </c>
      <c r="B13" s="50">
        <f>(B7*B11^0.5)</f>
        <v>2.3408229439226113E-3</v>
      </c>
      <c r="C13" s="4" t="s">
        <v>26</v>
      </c>
    </row>
    <row r="14" spans="1:3">
      <c r="A14" s="19" t="s">
        <v>20</v>
      </c>
      <c r="C14" s="4"/>
    </row>
    <row r="15" spans="1:3">
      <c r="A15" s="7" t="s">
        <v>17</v>
      </c>
      <c r="B15" s="6">
        <f>B2*(B5-B6)/B13</f>
        <v>0.17088007490637627</v>
      </c>
      <c r="C15" s="4" t="s">
        <v>27</v>
      </c>
    </row>
    <row r="16" spans="1:3">
      <c r="A16" s="2" t="s">
        <v>13</v>
      </c>
      <c r="B16" s="6">
        <f>NORMSDIST(B15)</f>
        <v>0.56784096793149308</v>
      </c>
      <c r="C16" s="4" t="s">
        <v>16</v>
      </c>
    </row>
    <row r="17" spans="1:3">
      <c r="A17" s="2" t="s">
        <v>15</v>
      </c>
      <c r="B17" s="6">
        <f>NORMDIST(B15,0,1,FALSE)</f>
        <v>0.39316003620179363</v>
      </c>
      <c r="C17" s="4" t="s">
        <v>14</v>
      </c>
    </row>
    <row r="18" spans="1:3">
      <c r="A18" s="8" t="s">
        <v>23</v>
      </c>
      <c r="B18" s="24">
        <f>B13*(B15*B16+B17)</f>
        <v>1.1474544205472344E-3</v>
      </c>
      <c r="C18" s="4" t="s">
        <v>38</v>
      </c>
    </row>
    <row r="19" spans="1:3">
      <c r="A19" s="20" t="s">
        <v>30</v>
      </c>
      <c r="B19" s="25">
        <f>B12*B18</f>
        <v>1.1338482416474649E-3</v>
      </c>
      <c r="C19" s="4" t="s">
        <v>29</v>
      </c>
    </row>
    <row r="20" spans="1:3">
      <c r="A20" s="21" t="s">
        <v>31</v>
      </c>
      <c r="B20" s="22">
        <f>2500*B19*100</f>
        <v>283.46206041186622</v>
      </c>
      <c r="C20" s="4" t="s">
        <v>32</v>
      </c>
    </row>
    <row r="21" spans="1:3">
      <c r="A21" s="21" t="s">
        <v>4</v>
      </c>
      <c r="B21" s="28">
        <f>B2*B12*B16</f>
        <v>-0.56110767582163346</v>
      </c>
      <c r="C21" s="4" t="s">
        <v>37</v>
      </c>
    </row>
    <row r="22" spans="1:3">
      <c r="A22" s="21" t="s">
        <v>9</v>
      </c>
      <c r="B22" s="26">
        <f>B12*B17/B13</f>
        <v>165.96644376567693</v>
      </c>
      <c r="C22" s="4" t="s">
        <v>34</v>
      </c>
    </row>
    <row r="23" spans="1:3">
      <c r="A23" s="21" t="s">
        <v>10</v>
      </c>
      <c r="B23" s="29">
        <f>B12*B11^0.5*B17</f>
        <v>0.18188103426375551</v>
      </c>
      <c r="C23" s="4" t="s">
        <v>35</v>
      </c>
    </row>
    <row r="24" spans="1:3">
      <c r="A24" s="21" t="s">
        <v>33</v>
      </c>
      <c r="B24" s="29">
        <f>B8*B19-0.5*B7*B17*B12/B11^0.5</f>
        <v>-2.0133527420219985E-3</v>
      </c>
      <c r="C24" s="4" t="s">
        <v>36</v>
      </c>
    </row>
    <row r="42" spans="4:4">
      <c r="D42"/>
    </row>
  </sheetData>
  <mergeCells count="1">
    <mergeCell ref="A1:B1"/>
  </mergeCells>
  <phoneticPr fontId="2"/>
  <pageMargins left="0.75" right="0.75" top="1" bottom="1" header="0.51200000000000001" footer="0.51200000000000001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C4B35-8AC0-43F6-8D03-202FAEF34EAE}">
  <sheetPr codeName="Sheet6"/>
  <dimension ref="A1:L30"/>
  <sheetViews>
    <sheetView workbookViewId="0">
      <selection sqref="A1:B1"/>
    </sheetView>
    <sheetView workbookViewId="1">
      <selection sqref="A1:B1"/>
    </sheetView>
    <sheetView zoomScale="120" zoomScaleNormal="120" workbookViewId="2">
      <selection sqref="A1:B1"/>
    </sheetView>
  </sheetViews>
  <sheetFormatPr defaultColWidth="8" defaultRowHeight="13"/>
  <cols>
    <col min="1" max="1" width="25.1796875" style="2" customWidth="1"/>
    <col min="2" max="2" width="13.54296875" style="2" bestFit="1" customWidth="1"/>
    <col min="3" max="3" width="23.36328125" style="2" customWidth="1"/>
    <col min="4" max="4" width="8" style="9"/>
    <col min="5" max="5" width="8.54296875" style="9" bestFit="1" customWidth="1"/>
    <col min="6" max="7" width="9.1796875" style="9" bestFit="1" customWidth="1"/>
    <col min="8" max="10" width="8" style="9"/>
    <col min="11" max="11" width="9.36328125" style="9" bestFit="1" customWidth="1"/>
    <col min="12" max="16384" width="8" style="9"/>
  </cols>
  <sheetData>
    <row r="1" spans="1:4">
      <c r="A1" s="51" t="s">
        <v>58</v>
      </c>
      <c r="B1" s="51"/>
      <c r="C1" s="1" t="s">
        <v>0</v>
      </c>
      <c r="D1"/>
    </row>
    <row r="2" spans="1:4">
      <c r="A2" s="18" t="s">
        <v>28</v>
      </c>
      <c r="B2" s="30">
        <v>1</v>
      </c>
      <c r="C2" s="42"/>
    </row>
    <row r="3" spans="1:4">
      <c r="A3" s="18" t="s">
        <v>11</v>
      </c>
      <c r="B3" s="31">
        <v>45195</v>
      </c>
      <c r="C3" s="31">
        <v>45292</v>
      </c>
    </row>
    <row r="4" spans="1:4">
      <c r="A4" s="2" t="s">
        <v>57</v>
      </c>
      <c r="B4" s="31">
        <v>45469</v>
      </c>
      <c r="C4" s="42"/>
    </row>
    <row r="5" spans="1:4">
      <c r="A5" s="2" t="s">
        <v>60</v>
      </c>
      <c r="B5" s="32">
        <v>5.2587479999999999E-2</v>
      </c>
      <c r="C5" s="42" t="s">
        <v>61</v>
      </c>
    </row>
    <row r="6" spans="1:4">
      <c r="A6" s="2" t="s">
        <v>55</v>
      </c>
      <c r="B6" s="32">
        <v>0.05</v>
      </c>
      <c r="C6" s="42"/>
    </row>
    <row r="7" spans="1:4">
      <c r="A7" s="2" t="s">
        <v>2</v>
      </c>
      <c r="B7" s="32">
        <v>8.8000000000000005E-3</v>
      </c>
      <c r="C7" s="42"/>
    </row>
    <row r="8" spans="1:4">
      <c r="A8" s="10" t="s">
        <v>56</v>
      </c>
      <c r="B8" s="30">
        <v>94</v>
      </c>
      <c r="C8" s="42" t="s">
        <v>62</v>
      </c>
    </row>
    <row r="9" spans="1:4">
      <c r="A9" s="19" t="s">
        <v>18</v>
      </c>
      <c r="C9" s="42"/>
    </row>
    <row r="10" spans="1:4">
      <c r="A10" s="2" t="s">
        <v>19</v>
      </c>
      <c r="B10" s="2">
        <f>B4-B3</f>
        <v>274</v>
      </c>
      <c r="C10" s="42" t="s">
        <v>63</v>
      </c>
    </row>
    <row r="11" spans="1:4">
      <c r="A11" s="2" t="s">
        <v>21</v>
      </c>
      <c r="B11" s="3">
        <f>B10/365</f>
        <v>0.75068493150684934</v>
      </c>
      <c r="C11" s="42" t="s">
        <v>24</v>
      </c>
    </row>
    <row r="12" spans="1:4">
      <c r="A12" s="2" t="s">
        <v>22</v>
      </c>
      <c r="B12" s="3">
        <v>0.94694951999999999</v>
      </c>
      <c r="C12" s="42" t="s">
        <v>67</v>
      </c>
    </row>
    <row r="13" spans="1:4">
      <c r="A13" s="2" t="s">
        <v>3</v>
      </c>
      <c r="B13" s="6">
        <f>B7*B11^0.5</f>
        <v>7.624502678594219E-3</v>
      </c>
      <c r="C13" s="42" t="s">
        <v>59</v>
      </c>
    </row>
    <row r="14" spans="1:4">
      <c r="A14" s="19" t="s">
        <v>20</v>
      </c>
      <c r="C14" s="42"/>
    </row>
    <row r="15" spans="1:4">
      <c r="A15" s="7" t="s">
        <v>17</v>
      </c>
      <c r="B15" s="6">
        <f>B2*(B5-B6)/B13</f>
        <v>0.33936377349100327</v>
      </c>
      <c r="C15" s="42" t="s">
        <v>27</v>
      </c>
    </row>
    <row r="16" spans="1:4">
      <c r="A16" s="2" t="s">
        <v>13</v>
      </c>
      <c r="B16" s="6">
        <f>NORMSDIST(B15)</f>
        <v>0.63283214721557535</v>
      </c>
      <c r="C16" s="42" t="s">
        <v>16</v>
      </c>
    </row>
    <row r="17" spans="1:12">
      <c r="A17" s="2" t="s">
        <v>15</v>
      </c>
      <c r="B17" s="6">
        <f>NORMDIST(B15,0,1,FALSE)</f>
        <v>0.37661854581308318</v>
      </c>
      <c r="C17" s="42" t="s">
        <v>14</v>
      </c>
    </row>
    <row r="18" spans="1:12">
      <c r="A18" s="8" t="s">
        <v>23</v>
      </c>
      <c r="B18" s="24">
        <f>B13*(B15*B16+B17)</f>
        <v>4.508969635637467E-3</v>
      </c>
      <c r="C18" s="42" t="s">
        <v>38</v>
      </c>
    </row>
    <row r="19" spans="1:12">
      <c r="A19" s="20" t="s">
        <v>64</v>
      </c>
      <c r="B19" s="41">
        <f>B12*10^7*B8/360*B18</f>
        <v>11148.835095088292</v>
      </c>
      <c r="C19" s="42" t="s">
        <v>65</v>
      </c>
    </row>
    <row r="20" spans="1:12">
      <c r="C20" s="10" t="s">
        <v>66</v>
      </c>
    </row>
    <row r="21" spans="1:12">
      <c r="A21" s="9"/>
      <c r="B21" s="9"/>
      <c r="C21" s="9"/>
    </row>
    <row r="22" spans="1:12">
      <c r="A22" s="9"/>
      <c r="B22" s="9"/>
      <c r="C22" s="9"/>
    </row>
    <row r="23" spans="1:12">
      <c r="A23" s="9"/>
      <c r="B23" s="9"/>
      <c r="C23" s="9"/>
    </row>
    <row r="24" spans="1:12">
      <c r="A24" s="9"/>
      <c r="B24" s="9"/>
      <c r="C24" s="9"/>
    </row>
    <row r="25" spans="1:12">
      <c r="A25" s="9"/>
      <c r="B25" s="9"/>
      <c r="C25" s="9"/>
    </row>
    <row r="26" spans="1:12">
      <c r="A26" s="9"/>
      <c r="B26" s="9"/>
      <c r="C26" s="9"/>
    </row>
    <row r="30" spans="1:12">
      <c r="L30"/>
    </row>
  </sheetData>
  <mergeCells count="1">
    <mergeCell ref="A1:B1"/>
  </mergeCells>
  <phoneticPr fontId="2"/>
  <pageMargins left="0.7" right="0.7" top="0.75" bottom="0.75" header="0.3" footer="0.3"/>
  <pageSetup paperSize="9" orientation="portrait" horizontalDpi="4294967294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9B58D-A962-4217-8465-DEB17BBCEB60}">
  <sheetPr codeName="Sheet16"/>
  <dimension ref="A1:O32"/>
  <sheetViews>
    <sheetView tabSelected="1" zoomScale="120" zoomScaleNormal="120" workbookViewId="0">
      <selection activeCell="B19" sqref="B19"/>
    </sheetView>
    <sheetView tabSelected="1" zoomScale="120" zoomScaleNormal="120" workbookViewId="1">
      <selection activeCell="B19" sqref="B19"/>
    </sheetView>
    <sheetView zoomScale="120" zoomScaleNormal="120" workbookViewId="2">
      <selection sqref="A1:B1"/>
    </sheetView>
  </sheetViews>
  <sheetFormatPr defaultColWidth="7.36328125" defaultRowHeight="13"/>
  <cols>
    <col min="1" max="1" width="24.6328125" style="2" customWidth="1"/>
    <col min="2" max="2" width="10.453125" style="2" bestFit="1" customWidth="1"/>
    <col min="3" max="3" width="13.81640625" style="2" customWidth="1"/>
    <col min="4" max="4" width="2" style="11" customWidth="1"/>
    <col min="5" max="5" width="10.7265625" style="11" customWidth="1"/>
    <col min="6" max="6" width="9" style="11" customWidth="1"/>
    <col min="7" max="7" width="12.36328125" style="11" customWidth="1"/>
    <col min="8" max="8" width="8.81640625" style="11" customWidth="1"/>
    <col min="9" max="9" width="14.1796875" style="11" customWidth="1"/>
    <col min="10" max="10" width="7.453125" style="11" bestFit="1" customWidth="1"/>
    <col min="11" max="11" width="9.7265625" style="11" bestFit="1" customWidth="1"/>
    <col min="12" max="12" width="8.08984375" style="11" bestFit="1" customWidth="1"/>
    <col min="13" max="16384" width="7.36328125" style="11"/>
  </cols>
  <sheetData>
    <row r="1" spans="1:9" ht="16.5" customHeight="1">
      <c r="A1" s="51" t="s">
        <v>51</v>
      </c>
      <c r="B1" s="51"/>
      <c r="C1" s="49" t="s">
        <v>0</v>
      </c>
    </row>
    <row r="2" spans="1:9" ht="16.5" customHeight="1">
      <c r="A2" s="18" t="s">
        <v>28</v>
      </c>
      <c r="B2" s="30">
        <v>1</v>
      </c>
      <c r="C2" s="48"/>
      <c r="E2" s="39" t="s">
        <v>50</v>
      </c>
      <c r="F2" s="40"/>
      <c r="G2" s="40"/>
      <c r="H2" s="40"/>
      <c r="I2" s="40"/>
    </row>
    <row r="3" spans="1:9">
      <c r="A3" s="18" t="s">
        <v>11</v>
      </c>
      <c r="B3" s="31">
        <v>45195</v>
      </c>
      <c r="C3" s="48"/>
      <c r="E3" s="12" t="s">
        <v>5</v>
      </c>
      <c r="F3" s="52" t="s">
        <v>6</v>
      </c>
      <c r="G3" s="52"/>
      <c r="H3" s="12" t="s">
        <v>48</v>
      </c>
      <c r="I3" s="12"/>
    </row>
    <row r="4" spans="1:9">
      <c r="A4" s="2" t="s">
        <v>12</v>
      </c>
      <c r="B4" s="31">
        <v>45561</v>
      </c>
      <c r="C4" s="48"/>
      <c r="E4" s="13" t="s">
        <v>46</v>
      </c>
      <c r="F4" s="14" t="s">
        <v>44</v>
      </c>
      <c r="G4" s="14" t="s">
        <v>72</v>
      </c>
      <c r="H4" s="14" t="s">
        <v>46</v>
      </c>
      <c r="I4" s="14" t="s">
        <v>73</v>
      </c>
    </row>
    <row r="5" spans="1:9">
      <c r="A5" s="2" t="s">
        <v>68</v>
      </c>
      <c r="B5" s="32">
        <f>H9</f>
        <v>4.2489577173397332E-2</v>
      </c>
      <c r="C5" s="48" t="s">
        <v>52</v>
      </c>
      <c r="E5" s="15">
        <v>45565</v>
      </c>
      <c r="F5" s="12"/>
      <c r="G5" s="12"/>
      <c r="H5" s="45">
        <v>0.94694951523787996</v>
      </c>
      <c r="I5" s="47"/>
    </row>
    <row r="6" spans="1:9">
      <c r="A6" s="2" t="s">
        <v>54</v>
      </c>
      <c r="B6" s="32">
        <f>H9</f>
        <v>4.2489577173397332E-2</v>
      </c>
      <c r="C6" s="48" t="s">
        <v>52</v>
      </c>
      <c r="E6" s="15">
        <v>45930</v>
      </c>
      <c r="F6" s="16">
        <f>(E6-E5)/360</f>
        <v>1.0138888888888888</v>
      </c>
      <c r="G6" s="48" t="s">
        <v>42</v>
      </c>
      <c r="H6" s="46">
        <v>0.90524961143980698</v>
      </c>
      <c r="I6" s="48"/>
    </row>
    <row r="7" spans="1:9">
      <c r="A7" s="2" t="s">
        <v>2</v>
      </c>
      <c r="B7" s="32">
        <v>1.35E-2</v>
      </c>
      <c r="C7" s="48"/>
      <c r="E7" s="15">
        <v>46295</v>
      </c>
      <c r="F7" s="16">
        <f>(E7-E6)/360</f>
        <v>1.0138888888888888</v>
      </c>
      <c r="G7" s="48" t="s">
        <v>43</v>
      </c>
      <c r="H7" s="46">
        <v>0.87045277121016895</v>
      </c>
      <c r="I7" s="48"/>
    </row>
    <row r="8" spans="1:9" ht="13" customHeight="1">
      <c r="A8" s="2" t="s">
        <v>41</v>
      </c>
      <c r="B8" s="27">
        <v>5.45E-2</v>
      </c>
      <c r="C8" s="48" t="s">
        <v>74</v>
      </c>
      <c r="E8" s="12"/>
      <c r="F8" s="12"/>
      <c r="G8" s="37" t="s">
        <v>7</v>
      </c>
      <c r="H8" s="44">
        <f>SUMPRODUCT(F6:F7,H6:H7)</f>
        <v>1.8003649157423367</v>
      </c>
      <c r="I8" s="48"/>
    </row>
    <row r="9" spans="1:9">
      <c r="A9" s="19" t="s">
        <v>18</v>
      </c>
      <c r="C9" s="48"/>
      <c r="G9" s="17" t="s">
        <v>69</v>
      </c>
      <c r="H9" s="38">
        <f>(H5-H7)/H8</f>
        <v>4.2489577173397332E-2</v>
      </c>
      <c r="I9" s="48" t="s">
        <v>49</v>
      </c>
    </row>
    <row r="10" spans="1:9">
      <c r="A10" s="2" t="s">
        <v>19</v>
      </c>
      <c r="B10" s="2">
        <f>B4-B3</f>
        <v>366</v>
      </c>
      <c r="C10" s="48"/>
      <c r="I10" s="43"/>
    </row>
    <row r="11" spans="1:9">
      <c r="A11" s="2" t="s">
        <v>21</v>
      </c>
      <c r="B11" s="3">
        <f>B10/365</f>
        <v>1.0027397260273974</v>
      </c>
      <c r="C11" s="48" t="s">
        <v>24</v>
      </c>
    </row>
    <row r="12" spans="1:9">
      <c r="A12" s="2" t="s">
        <v>71</v>
      </c>
      <c r="B12" s="3">
        <f>H8</f>
        <v>1.8003649157423367</v>
      </c>
      <c r="C12" s="48" t="s">
        <v>53</v>
      </c>
    </row>
    <row r="13" spans="1:9">
      <c r="A13" s="2" t="s">
        <v>3</v>
      </c>
      <c r="B13" s="6">
        <f>(B7*B11^0.5)</f>
        <v>1.3518480501465138E-2</v>
      </c>
      <c r="C13" s="48" t="s">
        <v>26</v>
      </c>
    </row>
    <row r="14" spans="1:9">
      <c r="A14" s="19" t="s">
        <v>20</v>
      </c>
      <c r="C14" s="48"/>
    </row>
    <row r="15" spans="1:9">
      <c r="A15" s="7" t="s">
        <v>17</v>
      </c>
      <c r="B15" s="6">
        <f>B2*(B5-B6)/B13</f>
        <v>0</v>
      </c>
      <c r="C15" s="48" t="s">
        <v>27</v>
      </c>
    </row>
    <row r="16" spans="1:9">
      <c r="A16" s="2" t="s">
        <v>13</v>
      </c>
      <c r="B16" s="6">
        <f>NORMSDIST(B15)</f>
        <v>0.5</v>
      </c>
      <c r="C16" s="48" t="s">
        <v>16</v>
      </c>
    </row>
    <row r="17" spans="1:15">
      <c r="A17" s="2" t="s">
        <v>15</v>
      </c>
      <c r="B17" s="6">
        <f>NORMDIST(B15,0,1,FALSE)</f>
        <v>0.3989422804014327</v>
      </c>
      <c r="C17" s="48" t="s">
        <v>14</v>
      </c>
    </row>
    <row r="18" spans="1:15">
      <c r="A18" s="8" t="s">
        <v>23</v>
      </c>
      <c r="B18" s="24">
        <f>B13*(B15*B16+B17)</f>
        <v>5.3930934388168057E-3</v>
      </c>
      <c r="C18" s="48" t="s">
        <v>38</v>
      </c>
    </row>
    <row r="19" spans="1:15">
      <c r="A19" s="20" t="s">
        <v>30</v>
      </c>
      <c r="B19" s="25">
        <f>B12*B18</f>
        <v>9.7095362145659669E-3</v>
      </c>
      <c r="C19" s="48" t="s">
        <v>29</v>
      </c>
    </row>
    <row r="20" spans="1:15">
      <c r="A20" s="21" t="s">
        <v>45</v>
      </c>
      <c r="B20" s="22">
        <f>B19*10^7</f>
        <v>97095.362145659674</v>
      </c>
      <c r="C20" s="48" t="s">
        <v>47</v>
      </c>
    </row>
    <row r="21" spans="1:15">
      <c r="A21" s="21" t="s">
        <v>4</v>
      </c>
      <c r="B21" s="28">
        <f>B2*B12*B16</f>
        <v>0.90018245787116835</v>
      </c>
      <c r="C21" s="4" t="s">
        <v>37</v>
      </c>
    </row>
    <row r="22" spans="1:15">
      <c r="A22" s="21" t="s">
        <v>9</v>
      </c>
      <c r="B22" s="26">
        <f>B12*B17/B13</f>
        <v>53.130356252918943</v>
      </c>
      <c r="C22" s="4" t="s">
        <v>34</v>
      </c>
    </row>
    <row r="23" spans="1:15">
      <c r="A23" s="21" t="s">
        <v>10</v>
      </c>
      <c r="B23" s="29">
        <f>B12*B11^0.5*B17</f>
        <v>0.71922490478266421</v>
      </c>
      <c r="C23" s="4" t="s">
        <v>35</v>
      </c>
    </row>
    <row r="24" spans="1:15">
      <c r="A24" s="21" t="s">
        <v>33</v>
      </c>
      <c r="B24" s="29">
        <f>B8*B19-0.5*B7*B17*B12/B11^0.5</f>
        <v>-4.3123339898533935E-3</v>
      </c>
      <c r="C24" s="4" t="s">
        <v>36</v>
      </c>
    </row>
    <row r="25" spans="1:15">
      <c r="C25" s="2" t="s">
        <v>70</v>
      </c>
    </row>
    <row r="30" spans="1:15">
      <c r="J30" s="15"/>
      <c r="K30" s="34"/>
      <c r="L30" s="15"/>
      <c r="N30" s="15"/>
      <c r="O30" s="35"/>
    </row>
    <row r="31" spans="1:15">
      <c r="J31" s="35"/>
      <c r="K31" s="36"/>
      <c r="L31" s="36"/>
      <c r="N31" s="34"/>
      <c r="O31" s="36"/>
    </row>
    <row r="32" spans="1:15">
      <c r="N32" s="15"/>
      <c r="O32" s="36"/>
    </row>
  </sheetData>
  <mergeCells count="2">
    <mergeCell ref="A1:B1"/>
    <mergeCell ref="F3:G3"/>
  </mergeCells>
  <phoneticPr fontId="1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7.4</vt:lpstr>
      <vt:lpstr>7.11</vt:lpstr>
      <vt:lpstr>7.12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 O</cp:lastModifiedBy>
  <dcterms:created xsi:type="dcterms:W3CDTF">2022-05-24T11:24:28Z</dcterms:created>
  <dcterms:modified xsi:type="dcterms:W3CDTF">2025-01-17T04:53:37Z</dcterms:modified>
</cp:coreProperties>
</file>